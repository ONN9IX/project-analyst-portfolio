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7db4a2322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44c0032905b40bc"/>
    <x:sheet xmlns:r="http://schemas.openxmlformats.org/officeDocument/2006/relationships" name="Issues" sheetId="2" r:id="R22cc23204b784134"/>
    <x:sheet xmlns:r="http://schemas.openxmlformats.org/officeDocument/2006/relationships" name="PRs" sheetId="3" r:id="R7dbb79ea8e2b4cc8"/>
    <x:sheet xmlns:r="http://schemas.openxmlformats.org/officeDocument/2006/relationships" name="Daily Activity" sheetId="4" r:id="R597c84ea5d0c40aa"/>
    <x:sheet xmlns:r="http://schemas.openxmlformats.org/officeDocument/2006/relationships" name="Risks" sheetId="5" r:id="Ra51bbb515c244114"/>
    <x:sheet xmlns:r="http://schemas.openxmlformats.org/officeDocument/2006/relationships" name="Methodology" sheetId="6" r:id="R4fff7c8cfe84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sz val="11"/>
      <x:color rgb="FF172A45"/>
      <x:name val="Carlito"/>
    </x:font>
    <x:font>
      <x:b/>
      <x:sz val="13"/>
      <x:color rgb="FF0B7285"/>
      <x:name val="Carlito"/>
    </x:font>
    <x:font>
      <x:b/>
      <x:sz val="11"/>
      <x:color rgb="FF172A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A45"/>
      </x:patternFill>
    </x:fill>
    <x:fill>
      <x:patternFill patternType="solid">
        <x:fgColor rgb="FFEBF3F6"/>
      </x:patternFill>
    </x:fill>
    <x:fill>
      <x:patternFill patternType="solid">
        <x:fgColor rgb="FF172A4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5f8b789394095" /><Relationship Type="http://schemas.openxmlformats.org/officeDocument/2006/relationships/theme" Target="/xl/theme/theme1.xml" Id="Reea4005ec4ff4e05" /><Relationship Type="http://schemas.openxmlformats.org/officeDocument/2006/relationships/sharedStrings" Target="/xl/sharedStrings.xml" Id="R146a1f97cf844456" /><Relationship Type="http://schemas.openxmlformats.org/officeDocument/2006/relationships/worksheet" Target="/xl/worksheets/sheet1.xml" Id="Rf44c0032905b40bc" /><Relationship Type="http://schemas.openxmlformats.org/officeDocument/2006/relationships/worksheet" Target="/xl/worksheets/sheet2.xml" Id="R22cc23204b784134" /><Relationship Type="http://schemas.openxmlformats.org/officeDocument/2006/relationships/worksheet" Target="/xl/worksheets/sheet3.xml" Id="R7dbb79ea8e2b4cc8" /><Relationship Type="http://schemas.openxmlformats.org/officeDocument/2006/relationships/worksheet" Target="/xl/worksheets/sheet4.xml" Id="R597c84ea5d0c40aa" /><Relationship Type="http://schemas.openxmlformats.org/officeDocument/2006/relationships/worksheet" Target="/xl/worksheets/sheet5.xml" Id="Ra51bbb515c244114" /><Relationship Type="http://schemas.openxmlformats.org/officeDocument/2006/relationships/worksheet" Target="/xl/worksheets/sheet6.xml" Id="R4fff7c8cfe8447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d2e4e2dbeb649c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30925798a84d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Динамика регистрации и закрытия Issues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issues_created</c:v>
          </c:tx>
          <c:marker>
            <c:symbol val="none"/>
          </c:marker>
          <c:cat>
            <c:strRef>
              <c:f>'Daily Activity'!$A$2:$A$22</c:f>
              <c:strCache>
                <c:ptCount val="0"/>
              </c:strCache>
            </c:strRef>
          </c:cat>
          <c:val>
            <c:numRef>
              <c:f>'Daily Activity'!$B$2:$B$22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issues_closed</c:v>
          </c:tx>
          <c:marker>
            <c:symbol val="none"/>
          </c:marker>
          <c:cat>
            <c:strRef>
              <c:f>'Daily Activity'!$A$2:$A$22</c:f>
              <c:strCache>
                <c:ptCount val="0"/>
              </c:strCache>
            </c:strRef>
          </c:cat>
          <c:val>
            <c:numRef>
              <c:f>'Daily Activity'!$C$2:$C$22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26</xdr:row>
      <xdr:rowOff>0</xdr:rowOff>
    </xdr:from>
    <xdr:ext cx="10763250" cy="4191000"/>
    <xdr:pic>
      <xdr:nvPicPr>
        <xdr:cNvPr id="1" name="f560d057-c0e4-4650-8c9f-57dc06de76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2e4e2dbeb649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30925798a84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3fa91377d447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80d84b8ea6244f34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5" max="5" width="27" hidden="0" customWidth="1"/>
    <x:col min="2" max="2" width="16" hidden="0" customWidth="1"/>
    <x:col min="6" max="6" width="16" hidden="0" customWidth="1"/>
    <x:col min="3" max="3" width="10" hidden="0" customWidth="1"/>
    <x:col min="4" max="4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7" customHeight="1">
      <x:c r="A1" s="11" t="str">
        <x:v>PROJECT OPERATIONS | GITHUB SNAPSHOT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 ht="27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26" customHeight="1">
      <x:c r="A3" s="15" t="str">
        <x:v>13.10.2026 · Smart Garden, данные только для чтения · не финансовая отчётность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5" ht="28" customHeight="1">
      <x:c r="A5" s="4" t="str">
        <x:v>ISSUES</x:v>
      </x:c>
      <x:c r="B5" s="4" t="str">
        <x:v>Количество</x:v>
      </x:c>
      <x:c r="E5" s="4" t="str">
        <x:v>PULL REQUESTS</x:v>
      </x:c>
      <x:c r="F5" s="4" t="str">
        <x:v>Количество</x:v>
      </x:c>
    </x:row>
    <x:row r="6" ht="29" customHeight="1">
      <x:c r="A6" t="str">
        <x:v>Всего Issues</x:v>
      </x:c>
      <x:c r="B6" s="22" t="n">
        <x:f>COUNTA(Issues!A2:A138)</x:f>
        <x:v>137</x:v>
      </x:c>
      <x:c r="E6" t="str">
        <x:v>Всего PR</x:v>
      </x:c>
      <x:c r="F6" s="22" t="n">
        <x:f>COUNTA(PRs!A2:A96)</x:f>
        <x:v>95</x:v>
      </x:c>
    </x:row>
    <x:row r="7" ht="29" customHeight="1">
      <x:c r="A7" t="str">
        <x:v>Закрыто</x:v>
      </x:c>
      <x:c r="B7" s="22" t="n">
        <x:f>COUNTIF(Issues!D2:D138,"closed")</x:f>
        <x:v>118</x:v>
      </x:c>
      <x:c r="E7" t="str">
        <x:v>Merged</x:v>
      </x:c>
      <x:c r="F7" s="22" t="n">
        <x:f>COUNTIF(PRs!D2:D96,"merged")</x:f>
        <x:v>88</x:v>
      </x:c>
    </x:row>
    <x:row r="8" ht="29" customHeight="1">
      <x:c r="A8" t="str">
        <x:v>Открыто</x:v>
      </x:c>
      <x:c r="B8" s="22" t="n">
        <x:f>COUNTIF(Issues!D2:D138,"open")</x:f>
        <x:v>19</x:v>
      </x:c>
      <x:c r="E8" t="str">
        <x:v>Open</x:v>
      </x:c>
      <x:c r="F8" s="22" t="n">
        <x:f>COUNTIF(PRs!D2:D96,"open")</x:f>
        <x:v>5</x:v>
      </x:c>
    </x:row>
    <x:row r="9" ht="29" customHeight="1">
      <x:c r="A9" t="str">
        <x:v>Доля закрытых</x:v>
      </x:c>
      <x:c r="B9" s="23" t="n">
        <x:f>IFERROR(B7/B6,0)</x:f>
        <x:v>0.8613138686131386</x:v>
      </x:c>
      <x:c r="E9" t="str">
        <x:v>Closed (no merge)</x:v>
      </x:c>
      <x:c r="F9" s="22" t="n">
        <x:f>COUNTIF(PRs!D2:D96,"closed_not_merged")</x:f>
        <x:v>2</x:v>
      </x:c>
    </x:row>
    <x:row r="12" ht="28" customHeight="1">
      <x:c r="A12" s="4" t="str">
        <x:v>ЧТО НЕЛЬЗЯ ЗАКЛЮЧИТЬ ИЗ ЭТИХ ДАННЫХ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</x:row>
    <x:row r="13" ht="27" customHeight="1">
      <x:c r="A13" s="29" t="str">
        <x:v>Доля закрытых Issues НЕ равна готовности проекта. Нет плана сроков, бюджета, часов, story points и подтверждённых затрат: SPI/CPI, velocity и выполнение плана здесь не рассчитываются.</x:v>
      </x:c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</x:row>
    <x:row r="14" ht="27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</x:row>
    <x:row r="17" ht="27" customHeight="1">
      <x:c r="A17" s="32" t="str">
        <x:v>Источники и воспроизводимость</x:v>
      </x:c>
      <x:c r="B17" s="32"/>
      <x:c r="C17" s="32"/>
      <x:c r="D17" s="32"/>
      <x:c r="E17" s="32"/>
      <x:c r="F17" s="32"/>
    </x:row>
    <x:row r="18" ht="27" customHeight="1">
      <x:c r="A18" t="str">
        <x:v>Issues и PRs · публичный REST API GitHub · дата среза 13.10.2026</x:v>
      </x:c>
    </x:row>
    <x:row r="19" ht="27" customHeight="1">
      <x:c r="A19" t="str">
        <x:v>Все объекты имеют source_url. Pull Requests исключены из Issues.</x:v>
      </x:c>
    </x:row>
    <x:row r="20" ht="27" customHeight="1">
      <x:c r="A20" t="str">
        <x:v>Методика — docs/ANALYSIS_METHOD.md; тесты — python -m unittest discover -s tests -v</x:v>
      </x:c>
    </x:row>
    <x:row r="21" ht="27" customHeight="1"/>
    <x:row r="22" ht="27" customHeight="1">
      <x:c r="A22" t="str">
        <x:v>Управленческие вопросы: персональные данные (#223), пилот (#187), универсальные профили (#162), PWA (#189).</x:v>
      </x:c>
    </x:row>
    <x:row r="25" ht="27" customHeight="1">
      <x:c r="A25" s="37" t="str">
        <x:v>ЕЖЕДНЕВНАЯ АКТИВНОСТЬ · реальный снимок GitHub API</x:v>
      </x:c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</x:row>
  </x:sheetData>
  <x:mergeCells>
    <x:mergeCell ref="A1:L2"/>
    <x:mergeCell ref="A3:L3"/>
    <x:mergeCell ref="A12:L12"/>
    <x:mergeCell ref="A13:L14"/>
    <x:mergeCell ref="A17:F17"/>
    <x:mergeCell ref="A18:L18"/>
    <x:mergeCell ref="A19:L19"/>
    <x:mergeCell ref="A20:L20"/>
    <x:mergeCell ref="A22:L22"/>
    <x:mergeCell ref="A25:L25"/>
  </x:mergeCells>
  <x:pageMargins left="0.7" right="0.7" top="0.75" bottom="0.75" header="0.3" footer="0.3"/>
  <x:drawing xmlns:r="http://schemas.openxmlformats.org/officeDocument/2006/relationships" r:id="R133fa91377d44775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47" hidden="0" customWidth="1"/>
    <x:col min="7" max="7" width="60" hidden="0" customWidth="1"/>
  </x:cols>
  <x:sheetData>
    <x:row r="1" ht="34" customHeight="1">
      <x:c r="A1" s="4" t="str">
        <x:v>issue_number</x:v>
      </x:c>
      <x:c r="B1" s="4" t="str">
        <x:v>created_date</x:v>
      </x:c>
      <x:c r="C1" s="4" t="str">
        <x:v>closed_date</x:v>
      </x:c>
      <x:c r="D1" s="4" t="str">
        <x:v>state</x:v>
      </x:c>
      <x:c r="E1" s="4" t="str">
        <x:v>assignee</x:v>
      </x:c>
      <x:c r="F1" s="4" t="str">
        <x:v>title_if_recorded</x:v>
      </x:c>
      <x:c r="G1" s="4" t="str">
        <x:v>source_url</x:v>
      </x:c>
    </x:row>
    <x:row r="2" ht="21" customHeight="1">
      <x:c r="A2" s="8" t="n">
        <x:v>1</x:v>
      </x:c>
      <x:c r="B2" s="8" t="str">
        <x:v>2026-09-23</x:v>
      </x:c>
      <x:c r="C2" s="8" t="str">
        <x:v>2026-09-25</x:v>
      </x:c>
      <x:c r="D2" s="8" t="str">
        <x:v>closed</x:v>
      </x:c>
      <x:c r="E2" s="8" t="str">
        <x:v>F1zname</x:v>
      </x:c>
      <x:c r="F2" s="8" t="str">
        <x:v>SHARED-01 — Зафиксировать API Contract v0.1</x:v>
      </x:c>
      <x:c r="G2" s="8" t="str">
        <x:v>https://github.com/ONN9IX/smart-garden/issues/1</x:v>
      </x:c>
    </x:row>
    <x:row r="3" ht="21" customHeight="1">
      <x:c r="A3" s="8" t="n">
        <x:v>2</x:v>
      </x:c>
      <x:c r="B3" s="8" t="str">
        <x:v>2026-09-23</x:v>
      </x:c>
      <x:c r="C3" s="8" t="str">
        <x:v>2026-09-25</x:v>
      </x:c>
      <x:c r="D3" s="8" t="str">
        <x:v>closed</x:v>
      </x:c>
      <x:c r="E3" s="8" t="str">
        <x:v>F1zname</x:v>
      </x:c>
      <x:c r="F3" s="8" t="str"/>
      <x:c r="G3" s="8" t="str">
        <x:v>https://github.com/ONN9IX/smart-garden/issues/2</x:v>
      </x:c>
    </x:row>
    <x:row r="4" ht="21" customHeight="1">
      <x:c r="A4" s="8" t="n">
        <x:v>3</x:v>
      </x:c>
      <x:c r="B4" s="8" t="str">
        <x:v>2026-09-23</x:v>
      </x:c>
      <x:c r="C4" s="8" t="str">
        <x:v>2026-09-25</x:v>
      </x:c>
      <x:c r="D4" s="8" t="str">
        <x:v>closed</x:v>
      </x:c>
      <x:c r="E4" s="8" t="str">
        <x:v>F1zname</x:v>
      </x:c>
      <x:c r="F4" s="8" t="str"/>
      <x:c r="G4" s="8" t="str">
        <x:v>https://github.com/ONN9IX/smart-garden/issues/3</x:v>
      </x:c>
    </x:row>
    <x:row r="5" ht="21" customHeight="1">
      <x:c r="A5" s="8" t="n">
        <x:v>4</x:v>
      </x:c>
      <x:c r="B5" s="8" t="str">
        <x:v>2026-09-23</x:v>
      </x:c>
      <x:c r="C5" s="8" t="str">
        <x:v>2026-09-25</x:v>
      </x:c>
      <x:c r="D5" s="8" t="str">
        <x:v>closed</x:v>
      </x:c>
      <x:c r="E5" s="8" t="str">
        <x:v>F1zname</x:v>
      </x:c>
      <x:c r="F5" s="8" t="str"/>
      <x:c r="G5" s="8" t="str">
        <x:v>https://github.com/ONN9IX/smart-garden/issues/4</x:v>
      </x:c>
    </x:row>
    <x:row r="6" ht="21" customHeight="1">
      <x:c r="A6" s="8" t="n">
        <x:v>5</x:v>
      </x:c>
      <x:c r="B6" s="8" t="str">
        <x:v>2026-09-23</x:v>
      </x:c>
      <x:c r="C6" s="8" t="str">
        <x:v>2026-09-25</x:v>
      </x:c>
      <x:c r="D6" s="8" t="str">
        <x:v>closed</x:v>
      </x:c>
      <x:c r="E6" s="8" t="str">
        <x:v>F1zname</x:v>
      </x:c>
      <x:c r="F6" s="8" t="str"/>
      <x:c r="G6" s="8" t="str">
        <x:v>https://github.com/ONN9IX/smart-garden/issues/5</x:v>
      </x:c>
    </x:row>
    <x:row r="7" ht="21" customHeight="1">
      <x:c r="A7" s="8" t="n">
        <x:v>6</x:v>
      </x:c>
      <x:c r="B7" s="8" t="str">
        <x:v>2026-09-23</x:v>
      </x:c>
      <x:c r="C7" s="8" t="str">
        <x:v>2026-09-25</x:v>
      </x:c>
      <x:c r="D7" s="8" t="str">
        <x:v>closed</x:v>
      </x:c>
      <x:c r="E7" s="8" t="str">
        <x:v>F1zname</x:v>
      </x:c>
      <x:c r="F7" s="8" t="str"/>
      <x:c r="G7" s="8" t="str">
        <x:v>https://github.com/ONN9IX/smart-garden/issues/6</x:v>
      </x:c>
    </x:row>
    <x:row r="8" ht="21" customHeight="1">
      <x:c r="A8" s="8" t="n">
        <x:v>7</x:v>
      </x:c>
      <x:c r="B8" s="8" t="str">
        <x:v>2026-09-23</x:v>
      </x:c>
      <x:c r="C8" s="8" t="str">
        <x:v>2026-09-25</x:v>
      </x:c>
      <x:c r="D8" s="8" t="str">
        <x:v>closed</x:v>
      </x:c>
      <x:c r="E8" s="8" t="str">
        <x:v>F1zname</x:v>
      </x:c>
      <x:c r="F8" s="8" t="str"/>
      <x:c r="G8" s="8" t="str">
        <x:v>https://github.com/ONN9IX/smart-garden/issues/7</x:v>
      </x:c>
    </x:row>
    <x:row r="9" ht="21" customHeight="1">
      <x:c r="A9" s="8" t="n">
        <x:v>8</x:v>
      </x:c>
      <x:c r="B9" s="8" t="str">
        <x:v>2026-09-23</x:v>
      </x:c>
      <x:c r="C9" s="8" t="str">
        <x:v>2026-09-25</x:v>
      </x:c>
      <x:c r="D9" s="8" t="str">
        <x:v>closed</x:v>
      </x:c>
      <x:c r="E9" s="8" t="str">
        <x:v>F1zname</x:v>
      </x:c>
      <x:c r="F9" s="8" t="str"/>
      <x:c r="G9" s="8" t="str">
        <x:v>https://github.com/ONN9IX/smart-garden/issues/8</x:v>
      </x:c>
    </x:row>
    <x:row r="10" ht="21" customHeight="1">
      <x:c r="A10" s="8" t="n">
        <x:v>9</x:v>
      </x:c>
      <x:c r="B10" s="8" t="str">
        <x:v>2026-09-23</x:v>
      </x:c>
      <x:c r="C10" s="8" t="str">
        <x:v>2026-09-25</x:v>
      </x:c>
      <x:c r="D10" s="8" t="str">
        <x:v>closed</x:v>
      </x:c>
      <x:c r="E10" s="8" t="str">
        <x:v>F1zname</x:v>
      </x:c>
      <x:c r="F10" s="8" t="str"/>
      <x:c r="G10" s="8" t="str">
        <x:v>https://github.com/ONN9IX/smart-garden/issues/9</x:v>
      </x:c>
    </x:row>
    <x:row r="11" ht="21" customHeight="1">
      <x:c r="A11" s="8" t="n">
        <x:v>10</x:v>
      </x:c>
      <x:c r="B11" s="8" t="str">
        <x:v>2026-09-23</x:v>
      </x:c>
      <x:c r="C11" s="8" t="str">
        <x:v>2026-09-25</x:v>
      </x:c>
      <x:c r="D11" s="8" t="str">
        <x:v>closed</x:v>
      </x:c>
      <x:c r="E11" s="8" t="str">
        <x:v>F1zname</x:v>
      </x:c>
      <x:c r="F11" s="8" t="str"/>
      <x:c r="G11" s="8" t="str">
        <x:v>https://github.com/ONN9IX/smart-garden/issues/10</x:v>
      </x:c>
    </x:row>
    <x:row r="12" ht="21" customHeight="1">
      <x:c r="A12" s="8" t="n">
        <x:v>11</x:v>
      </x:c>
      <x:c r="B12" s="8" t="str">
        <x:v>2026-09-23</x:v>
      </x:c>
      <x:c r="C12" s="8" t="str">
        <x:v>2026-09-25</x:v>
      </x:c>
      <x:c r="D12" s="8" t="str">
        <x:v>closed</x:v>
      </x:c>
      <x:c r="E12" s="8" t="str">
        <x:v>F1zname</x:v>
      </x:c>
      <x:c r="F12" s="8" t="str"/>
      <x:c r="G12" s="8" t="str">
        <x:v>https://github.com/ONN9IX/smart-garden/issues/11</x:v>
      </x:c>
    </x:row>
    <x:row r="13" ht="21" customHeight="1">
      <x:c r="A13" s="8" t="n">
        <x:v>12</x:v>
      </x:c>
      <x:c r="B13" s="8" t="str">
        <x:v>2026-09-23</x:v>
      </x:c>
      <x:c r="C13" s="8" t="str">
        <x:v>2026-09-25</x:v>
      </x:c>
      <x:c r="D13" s="8" t="str">
        <x:v>closed</x:v>
      </x:c>
      <x:c r="E13" s="8" t="str">
        <x:v>F1zname</x:v>
      </x:c>
      <x:c r="F13" s="8" t="str"/>
      <x:c r="G13" s="8" t="str">
        <x:v>https://github.com/ONN9IX/smart-garden/issues/12</x:v>
      </x:c>
    </x:row>
    <x:row r="14" ht="21" customHeight="1">
      <x:c r="A14" s="8" t="n">
        <x:v>13</x:v>
      </x:c>
      <x:c r="B14" s="8" t="str">
        <x:v>2026-09-23</x:v>
      </x:c>
      <x:c r="C14" s="8" t="str">
        <x:v>2026-09-25</x:v>
      </x:c>
      <x:c r="D14" s="8" t="str">
        <x:v>closed</x:v>
      </x:c>
      <x:c r="E14" s="8" t="str">
        <x:v>F1zname</x:v>
      </x:c>
      <x:c r="F14" s="8" t="str"/>
      <x:c r="G14" s="8" t="str">
        <x:v>https://github.com/ONN9IX/smart-garden/issues/13</x:v>
      </x:c>
    </x:row>
    <x:row r="15" ht="21" customHeight="1">
      <x:c r="A15" s="8" t="n">
        <x:v>14</x:v>
      </x:c>
      <x:c r="B15" s="8" t="str">
        <x:v>2026-09-23</x:v>
      </x:c>
      <x:c r="C15" s="8" t="str">
        <x:v>2026-09-25</x:v>
      </x:c>
      <x:c r="D15" s="8" t="str">
        <x:v>closed</x:v>
      </x:c>
      <x:c r="E15" s="8" t="str">
        <x:v>ONN9IX</x:v>
      </x:c>
      <x:c r="F15" s="8" t="str"/>
      <x:c r="G15" s="8" t="str">
        <x:v>https://github.com/ONN9IX/smart-garden/issues/14</x:v>
      </x:c>
    </x:row>
    <x:row r="16" ht="21" customHeight="1">
      <x:c r="A16" s="8" t="n">
        <x:v>15</x:v>
      </x:c>
      <x:c r="B16" s="8" t="str">
        <x:v>2026-09-23</x:v>
      </x:c>
      <x:c r="C16" s="8" t="str">
        <x:v>2026-09-25</x:v>
      </x:c>
      <x:c r="D16" s="8" t="str">
        <x:v>closed</x:v>
      </x:c>
      <x:c r="E16" s="8" t="str">
        <x:v>ONN9IX</x:v>
      </x:c>
      <x:c r="F16" s="8" t="str"/>
      <x:c r="G16" s="8" t="str">
        <x:v>https://github.com/ONN9IX/smart-garden/issues/15</x:v>
      </x:c>
    </x:row>
    <x:row r="17" ht="21" customHeight="1">
      <x:c r="A17" s="8" t="n">
        <x:v>16</x:v>
      </x:c>
      <x:c r="B17" s="8" t="str">
        <x:v>2026-09-23</x:v>
      </x:c>
      <x:c r="C17" s="8" t="str">
        <x:v>2026-09-25</x:v>
      </x:c>
      <x:c r="D17" s="8" t="str">
        <x:v>closed</x:v>
      </x:c>
      <x:c r="E17" s="8" t="str">
        <x:v>ONN9IX</x:v>
      </x:c>
      <x:c r="F17" s="8" t="str"/>
      <x:c r="G17" s="8" t="str">
        <x:v>https://github.com/ONN9IX/smart-garden/issues/16</x:v>
      </x:c>
    </x:row>
    <x:row r="18" ht="21" customHeight="1">
      <x:c r="A18" s="8" t="n">
        <x:v>17</x:v>
      </x:c>
      <x:c r="B18" s="8" t="str">
        <x:v>2026-09-23</x:v>
      </x:c>
      <x:c r="C18" s="8" t="str">
        <x:v>2026-09-25</x:v>
      </x:c>
      <x:c r="D18" s="8" t="str">
        <x:v>closed</x:v>
      </x:c>
      <x:c r="E18" s="8" t="str">
        <x:v>ONN9IX</x:v>
      </x:c>
      <x:c r="F18" s="8" t="str"/>
      <x:c r="G18" s="8" t="str">
        <x:v>https://github.com/ONN9IX/smart-garden/issues/17</x:v>
      </x:c>
    </x:row>
    <x:row r="19" ht="21" customHeight="1">
      <x:c r="A19" s="8" t="n">
        <x:v>18</x:v>
      </x:c>
      <x:c r="B19" s="8" t="str">
        <x:v>2026-09-23</x:v>
      </x:c>
      <x:c r="C19" s="8" t="str">
        <x:v>2026-09-25</x:v>
      </x:c>
      <x:c r="D19" s="8" t="str">
        <x:v>closed</x:v>
      </x:c>
      <x:c r="E19" s="8" t="str">
        <x:v>ONN9IX</x:v>
      </x:c>
      <x:c r="F19" s="8" t="str"/>
      <x:c r="G19" s="8" t="str">
        <x:v>https://github.com/ONN9IX/smart-garden/issues/18</x:v>
      </x:c>
    </x:row>
    <x:row r="20" ht="21" customHeight="1">
      <x:c r="A20" s="8" t="n">
        <x:v>19</x:v>
      </x:c>
      <x:c r="B20" s="8" t="str">
        <x:v>2026-09-23</x:v>
      </x:c>
      <x:c r="C20" s="8" t="str">
        <x:v>2026-09-25</x:v>
      </x:c>
      <x:c r="D20" s="8" t="str">
        <x:v>closed</x:v>
      </x:c>
      <x:c r="E20" s="8" t="str">
        <x:v>ONN9IX</x:v>
      </x:c>
      <x:c r="F20" s="8" t="str"/>
      <x:c r="G20" s="8" t="str">
        <x:v>https://github.com/ONN9IX/smart-garden/issues/19</x:v>
      </x:c>
    </x:row>
    <x:row r="21" ht="21" customHeight="1">
      <x:c r="A21" s="8" t="n">
        <x:v>20</x:v>
      </x:c>
      <x:c r="B21" s="8" t="str">
        <x:v>2026-09-23</x:v>
      </x:c>
      <x:c r="C21" s="8" t="str">
        <x:v>2026-09-25</x:v>
      </x:c>
      <x:c r="D21" s="8" t="str">
        <x:v>closed</x:v>
      </x:c>
      <x:c r="E21" s="8" t="str">
        <x:v>ONN9IX</x:v>
      </x:c>
      <x:c r="F21" s="8" t="str"/>
      <x:c r="G21" s="8" t="str">
        <x:v>https://github.com/ONN9IX/smart-garden/issues/20</x:v>
      </x:c>
    </x:row>
    <x:row r="22" ht="21" customHeight="1">
      <x:c r="A22" s="8" t="n">
        <x:v>21</x:v>
      </x:c>
      <x:c r="B22" s="8" t="str">
        <x:v>2026-09-23</x:v>
      </x:c>
      <x:c r="C22" s="8" t="str">
        <x:v>2026-09-23</x:v>
      </x:c>
      <x:c r="D22" s="8" t="str">
        <x:v>closed</x:v>
      </x:c>
      <x:c r="E22" s="8" t="str"/>
      <x:c r="F22" s="8" t="str"/>
      <x:c r="G22" s="8" t="str">
        <x:v>https://github.com/ONN9IX/smart-garden/issues/21</x:v>
      </x:c>
    </x:row>
    <x:row r="23" ht="21" customHeight="1">
      <x:c r="A23" s="8" t="n">
        <x:v>22</x:v>
      </x:c>
      <x:c r="B23" s="8" t="str">
        <x:v>2026-09-23</x:v>
      </x:c>
      <x:c r="C23" s="8" t="str">
        <x:v>2026-09-25</x:v>
      </x:c>
      <x:c r="D23" s="8" t="str">
        <x:v>closed</x:v>
      </x:c>
      <x:c r="E23" s="8" t="str">
        <x:v>ONN9IX</x:v>
      </x:c>
      <x:c r="F23" s="8" t="str"/>
      <x:c r="G23" s="8" t="str">
        <x:v>https://github.com/ONN9IX/smart-garden/issues/22</x:v>
      </x:c>
    </x:row>
    <x:row r="24" ht="21" customHeight="1">
      <x:c r="A24" s="8" t="n">
        <x:v>23</x:v>
      </x:c>
      <x:c r="B24" s="8" t="str">
        <x:v>2026-09-23</x:v>
      </x:c>
      <x:c r="C24" s="8" t="str">
        <x:v>2026-09-25</x:v>
      </x:c>
      <x:c r="D24" s="8" t="str">
        <x:v>closed</x:v>
      </x:c>
      <x:c r="E24" s="8" t="str">
        <x:v>ONN9IX</x:v>
      </x:c>
      <x:c r="F24" s="8" t="str"/>
      <x:c r="G24" s="8" t="str">
        <x:v>https://github.com/ONN9IX/smart-garden/issues/23</x:v>
      </x:c>
    </x:row>
    <x:row r="25" ht="21" customHeight="1">
      <x:c r="A25" s="8" t="n">
        <x:v>24</x:v>
      </x:c>
      <x:c r="B25" s="8" t="str">
        <x:v>2026-09-23</x:v>
      </x:c>
      <x:c r="C25" s="8" t="str">
        <x:v>2026-09-25</x:v>
      </x:c>
      <x:c r="D25" s="8" t="str">
        <x:v>closed</x:v>
      </x:c>
      <x:c r="E25" s="8" t="str">
        <x:v>ONN9IX</x:v>
      </x:c>
      <x:c r="F25" s="8" t="str"/>
      <x:c r="G25" s="8" t="str">
        <x:v>https://github.com/ONN9IX/smart-garden/issues/24</x:v>
      </x:c>
    </x:row>
    <x:row r="26" ht="21" customHeight="1">
      <x:c r="A26" s="8" t="n">
        <x:v>25</x:v>
      </x:c>
      <x:c r="B26" s="8" t="str">
        <x:v>2026-09-23</x:v>
      </x:c>
      <x:c r="C26" s="8" t="str">
        <x:v>2026-09-25</x:v>
      </x:c>
      <x:c r="D26" s="8" t="str">
        <x:v>closed</x:v>
      </x:c>
      <x:c r="E26" s="8" t="str">
        <x:v>ONN9IX</x:v>
      </x:c>
      <x:c r="F26" s="8" t="str"/>
      <x:c r="G26" s="8" t="str">
        <x:v>https://github.com/ONN9IX/smart-garden/issues/25</x:v>
      </x:c>
    </x:row>
    <x:row r="27" ht="21" customHeight="1">
      <x:c r="A27" s="8" t="n">
        <x:v>26</x:v>
      </x:c>
      <x:c r="B27" s="8" t="str">
        <x:v>2026-09-23</x:v>
      </x:c>
      <x:c r="C27" s="8" t="str">
        <x:v>2026-09-25</x:v>
      </x:c>
      <x:c r="D27" s="8" t="str">
        <x:v>closed</x:v>
      </x:c>
      <x:c r="E27" s="8" t="str">
        <x:v>ONN9IX</x:v>
      </x:c>
      <x:c r="F27" s="8" t="str"/>
      <x:c r="G27" s="8" t="str">
        <x:v>https://github.com/ONN9IX/smart-garden/issues/26</x:v>
      </x:c>
    </x:row>
    <x:row r="28" ht="21" customHeight="1">
      <x:c r="A28" s="8" t="n">
        <x:v>27</x:v>
      </x:c>
      <x:c r="B28" s="8" t="str">
        <x:v>2026-09-23</x:v>
      </x:c>
      <x:c r="C28" s="8" t="str">
        <x:v>2026-09-25</x:v>
      </x:c>
      <x:c r="D28" s="8" t="str">
        <x:v>closed</x:v>
      </x:c>
      <x:c r="E28" s="8" t="str">
        <x:v>F1zname</x:v>
      </x:c>
      <x:c r="F28" s="8" t="str"/>
      <x:c r="G28" s="8" t="str">
        <x:v>https://github.com/ONN9IX/smart-garden/issues/27</x:v>
      </x:c>
    </x:row>
    <x:row r="29" ht="21" customHeight="1">
      <x:c r="A29" s="8" t="n">
        <x:v>28</x:v>
      </x:c>
      <x:c r="B29" s="8" t="str">
        <x:v>2026-09-23</x:v>
      </x:c>
      <x:c r="C29" s="8" t="str">
        <x:v>2026-09-23</x:v>
      </x:c>
      <x:c r="D29" s="8" t="str">
        <x:v>closed</x:v>
      </x:c>
      <x:c r="E29" s="8" t="str">
        <x:v>ONN9IX</x:v>
      </x:c>
      <x:c r="F29" s="8" t="str">
        <x:v>REPO-01 — Включить защиту main перед первым merge</x:v>
      </x:c>
      <x:c r="G29" s="8" t="str">
        <x:v>https://github.com/ONN9IX/smart-garden/issues/28</x:v>
      </x:c>
    </x:row>
    <x:row r="30" ht="21" customHeight="1">
      <x:c r="A30" s="8" t="n">
        <x:v>32</x:v>
      </x:c>
      <x:c r="B30" s="8" t="str">
        <x:v>2026-09-25</x:v>
      </x:c>
      <x:c r="C30" s="8" t="str">
        <x:v>2026-09-29</x:v>
      </x:c>
      <x:c r="D30" s="8" t="str">
        <x:v>closed</x:v>
      </x:c>
      <x:c r="E30" s="8" t="str">
        <x:v>F1zname</x:v>
      </x:c>
      <x:c r="F30" s="8" t="str"/>
      <x:c r="G30" s="8" t="str">
        <x:v>https://github.com/ONN9IX/smart-garden/issues/32</x:v>
      </x:c>
    </x:row>
    <x:row r="31" ht="21" customHeight="1">
      <x:c r="A31" s="8" t="n">
        <x:v>33</x:v>
      </x:c>
      <x:c r="B31" s="8" t="str">
        <x:v>2026-09-25</x:v>
      </x:c>
      <x:c r="C31" s="8" t="str">
        <x:v>2026-09-25</x:v>
      </x:c>
      <x:c r="D31" s="8" t="str">
        <x:v>closed</x:v>
      </x:c>
      <x:c r="E31" s="8" t="str">
        <x:v>ONN9IX</x:v>
      </x:c>
      <x:c r="F31" s="8" t="str"/>
      <x:c r="G31" s="8" t="str">
        <x:v>https://github.com/ONN9IX/smart-garden/issues/33</x:v>
      </x:c>
    </x:row>
    <x:row r="32" ht="21" customHeight="1">
      <x:c r="A32" s="8" t="n">
        <x:v>34</x:v>
      </x:c>
      <x:c r="B32" s="8" t="str">
        <x:v>2026-09-25</x:v>
      </x:c>
      <x:c r="C32" s="8" t="str">
        <x:v>2026-09-25</x:v>
      </x:c>
      <x:c r="D32" s="8" t="str">
        <x:v>closed</x:v>
      </x:c>
      <x:c r="E32" s="8" t="str">
        <x:v>ONN9IX</x:v>
      </x:c>
      <x:c r="F32" s="8" t="str"/>
      <x:c r="G32" s="8" t="str">
        <x:v>https://github.com/ONN9IX/smart-garden/issues/34</x:v>
      </x:c>
    </x:row>
    <x:row r="33" ht="21" customHeight="1">
      <x:c r="A33" s="8" t="n">
        <x:v>37</x:v>
      </x:c>
      <x:c r="B33" s="8" t="str">
        <x:v>2026-09-25</x:v>
      </x:c>
      <x:c r="C33" s="8" t="str">
        <x:v>2026-09-25</x:v>
      </x:c>
      <x:c r="D33" s="8" t="str">
        <x:v>closed</x:v>
      </x:c>
      <x:c r="E33" s="8" t="str">
        <x:v>ONN9IX</x:v>
      </x:c>
      <x:c r="F33" s="8" t="str"/>
      <x:c r="G33" s="8" t="str">
        <x:v>https://github.com/ONN9IX/smart-garden/issues/37</x:v>
      </x:c>
    </x:row>
    <x:row r="34" ht="21" customHeight="1">
      <x:c r="A34" s="8" t="n">
        <x:v>38</x:v>
      </x:c>
      <x:c r="B34" s="8" t="str">
        <x:v>2026-09-25</x:v>
      </x:c>
      <x:c r="C34" s="8" t="str">
        <x:v>2026-09-25</x:v>
      </x:c>
      <x:c r="D34" s="8" t="str">
        <x:v>closed</x:v>
      </x:c>
      <x:c r="E34" s="8" t="str">
        <x:v>ONN9IX</x:v>
      </x:c>
      <x:c r="F34" s="8" t="str"/>
      <x:c r="G34" s="8" t="str">
        <x:v>https://github.com/ONN9IX/smart-garden/issues/38</x:v>
      </x:c>
    </x:row>
    <x:row r="35" ht="21" customHeight="1">
      <x:c r="A35" s="8" t="n">
        <x:v>39</x:v>
      </x:c>
      <x:c r="B35" s="8" t="str">
        <x:v>2026-09-25</x:v>
      </x:c>
      <x:c r="C35" s="8" t="str">
        <x:v>2026-09-25</x:v>
      </x:c>
      <x:c r="D35" s="8" t="str">
        <x:v>closed</x:v>
      </x:c>
      <x:c r="E35" s="8" t="str">
        <x:v>ONN9IX</x:v>
      </x:c>
      <x:c r="F35" s="8" t="str"/>
      <x:c r="G35" s="8" t="str">
        <x:v>https://github.com/ONN9IX/smart-garden/issues/39</x:v>
      </x:c>
    </x:row>
    <x:row r="36" ht="21" customHeight="1">
      <x:c r="A36" s="8" t="n">
        <x:v>40</x:v>
      </x:c>
      <x:c r="B36" s="8" t="str">
        <x:v>2026-09-25</x:v>
      </x:c>
      <x:c r="C36" s="8" t="str">
        <x:v>2026-09-25</x:v>
      </x:c>
      <x:c r="D36" s="8" t="str">
        <x:v>closed</x:v>
      </x:c>
      <x:c r="E36" s="8" t="str">
        <x:v>ONN9IX</x:v>
      </x:c>
      <x:c r="F36" s="8" t="str"/>
      <x:c r="G36" s="8" t="str">
        <x:v>https://github.com/ONN9IX/smart-garden/issues/40</x:v>
      </x:c>
    </x:row>
    <x:row r="37" ht="21" customHeight="1">
      <x:c r="A37" s="8" t="n">
        <x:v>41</x:v>
      </x:c>
      <x:c r="B37" s="8" t="str">
        <x:v>2026-09-25</x:v>
      </x:c>
      <x:c r="C37" s="8" t="str">
        <x:v>2026-09-25</x:v>
      </x:c>
      <x:c r="D37" s="8" t="str">
        <x:v>closed</x:v>
      </x:c>
      <x:c r="E37" s="8" t="str">
        <x:v>ONN9IX</x:v>
      </x:c>
      <x:c r="F37" s="8" t="str"/>
      <x:c r="G37" s="8" t="str">
        <x:v>https://github.com/ONN9IX/smart-garden/issues/41</x:v>
      </x:c>
    </x:row>
    <x:row r="38" ht="21" customHeight="1">
      <x:c r="A38" s="8" t="n">
        <x:v>42</x:v>
      </x:c>
      <x:c r="B38" s="8" t="str">
        <x:v>2026-09-25</x:v>
      </x:c>
      <x:c r="C38" s="8" t="str">
        <x:v>2026-09-25</x:v>
      </x:c>
      <x:c r="D38" s="8" t="str">
        <x:v>closed</x:v>
      </x:c>
      <x:c r="E38" s="8" t="str">
        <x:v>ONN9IX</x:v>
      </x:c>
      <x:c r="F38" s="8" t="str"/>
      <x:c r="G38" s="8" t="str">
        <x:v>https://github.com/ONN9IX/smart-garden/issues/42</x:v>
      </x:c>
    </x:row>
    <x:row r="39" ht="21" customHeight="1">
      <x:c r="A39" s="8" t="n">
        <x:v>43</x:v>
      </x:c>
      <x:c r="B39" s="8" t="str">
        <x:v>2026-09-25</x:v>
      </x:c>
      <x:c r="C39" s="8" t="str">
        <x:v>2026-09-25</x:v>
      </x:c>
      <x:c r="D39" s="8" t="str">
        <x:v>closed</x:v>
      </x:c>
      <x:c r="E39" s="8" t="str">
        <x:v>ONN9IX</x:v>
      </x:c>
      <x:c r="F39" s="8" t="str"/>
      <x:c r="G39" s="8" t="str">
        <x:v>https://github.com/ONN9IX/smart-garden/issues/43</x:v>
      </x:c>
    </x:row>
    <x:row r="40" ht="21" customHeight="1">
      <x:c r="A40" s="8" t="n">
        <x:v>44</x:v>
      </x:c>
      <x:c r="B40" s="8" t="str">
        <x:v>2026-09-25</x:v>
      </x:c>
      <x:c r="C40" s="8" t="str">
        <x:v>2026-09-25</x:v>
      </x:c>
      <x:c r="D40" s="8" t="str">
        <x:v>closed</x:v>
      </x:c>
      <x:c r="E40" s="8" t="str">
        <x:v>F1zname</x:v>
      </x:c>
      <x:c r="F40" s="8" t="str"/>
      <x:c r="G40" s="8" t="str">
        <x:v>https://github.com/ONN9IX/smart-garden/issues/44</x:v>
      </x:c>
    </x:row>
    <x:row r="41" ht="21" customHeight="1">
      <x:c r="A41" s="8" t="n">
        <x:v>45</x:v>
      </x:c>
      <x:c r="B41" s="8" t="str">
        <x:v>2026-09-25</x:v>
      </x:c>
      <x:c r="C41" s="8" t="str">
        <x:v>2026-09-25</x:v>
      </x:c>
      <x:c r="D41" s="8" t="str">
        <x:v>closed</x:v>
      </x:c>
      <x:c r="E41" s="8" t="str">
        <x:v>F1zname</x:v>
      </x:c>
      <x:c r="F41" s="8" t="str"/>
      <x:c r="G41" s="8" t="str">
        <x:v>https://github.com/ONN9IX/smart-garden/issues/45</x:v>
      </x:c>
    </x:row>
    <x:row r="42" ht="21" customHeight="1">
      <x:c r="A42" s="8" t="n">
        <x:v>46</x:v>
      </x:c>
      <x:c r="B42" s="8" t="str">
        <x:v>2026-09-25</x:v>
      </x:c>
      <x:c r="C42" s="8" t="str">
        <x:v>2026-09-25</x:v>
      </x:c>
      <x:c r="D42" s="8" t="str">
        <x:v>closed</x:v>
      </x:c>
      <x:c r="E42" s="8" t="str">
        <x:v>F1zname</x:v>
      </x:c>
      <x:c r="F42" s="8" t="str"/>
      <x:c r="G42" s="8" t="str">
        <x:v>https://github.com/ONN9IX/smart-garden/issues/46</x:v>
      </x:c>
    </x:row>
    <x:row r="43" ht="21" customHeight="1">
      <x:c r="A43" s="8" t="n">
        <x:v>47</x:v>
      </x:c>
      <x:c r="B43" s="8" t="str">
        <x:v>2026-09-25</x:v>
      </x:c>
      <x:c r="C43" s="8" t="str">
        <x:v>2026-09-25</x:v>
      </x:c>
      <x:c r="D43" s="8" t="str">
        <x:v>closed</x:v>
      </x:c>
      <x:c r="E43" s="8" t="str">
        <x:v>F1zname</x:v>
      </x:c>
      <x:c r="F43" s="8" t="str"/>
      <x:c r="G43" s="8" t="str">
        <x:v>https://github.com/ONN9IX/smart-garden/issues/47</x:v>
      </x:c>
    </x:row>
    <x:row r="44" ht="21" customHeight="1">
      <x:c r="A44" s="8" t="n">
        <x:v>48</x:v>
      </x:c>
      <x:c r="B44" s="8" t="str">
        <x:v>2026-09-25</x:v>
      </x:c>
      <x:c r="C44" s="8" t="str">
        <x:v>2026-09-25</x:v>
      </x:c>
      <x:c r="D44" s="8" t="str">
        <x:v>closed</x:v>
      </x:c>
      <x:c r="E44" s="8" t="str">
        <x:v>F1zname</x:v>
      </x:c>
      <x:c r="F44" s="8" t="str"/>
      <x:c r="G44" s="8" t="str">
        <x:v>https://github.com/ONN9IX/smart-garden/issues/48</x:v>
      </x:c>
    </x:row>
    <x:row r="45" ht="21" customHeight="1">
      <x:c r="A45" s="8" t="n">
        <x:v>49</x:v>
      </x:c>
      <x:c r="B45" s="8" t="str">
        <x:v>2026-09-25</x:v>
      </x:c>
      <x:c r="C45" s="8" t="str">
        <x:v>2026-09-25</x:v>
      </x:c>
      <x:c r="D45" s="8" t="str">
        <x:v>closed</x:v>
      </x:c>
      <x:c r="E45" s="8" t="str">
        <x:v>F1zname</x:v>
      </x:c>
      <x:c r="F45" s="8" t="str"/>
      <x:c r="G45" s="8" t="str">
        <x:v>https://github.com/ONN9IX/smart-garden/issues/49</x:v>
      </x:c>
    </x:row>
    <x:row r="46" ht="21" customHeight="1">
      <x:c r="A46" s="8" t="n">
        <x:v>50</x:v>
      </x:c>
      <x:c r="B46" s="8" t="str">
        <x:v>2026-09-25</x:v>
      </x:c>
      <x:c r="C46" s="8" t="str">
        <x:v>2026-09-26</x:v>
      </x:c>
      <x:c r="D46" s="8" t="str">
        <x:v>closed</x:v>
      </x:c>
      <x:c r="E46" s="8" t="str">
        <x:v>F1zname</x:v>
      </x:c>
      <x:c r="F46" s="8" t="str"/>
      <x:c r="G46" s="8" t="str">
        <x:v>https://github.com/ONN9IX/smart-garden/issues/50</x:v>
      </x:c>
    </x:row>
    <x:row r="47" ht="21" customHeight="1">
      <x:c r="A47" s="8" t="n">
        <x:v>51</x:v>
      </x:c>
      <x:c r="B47" s="8" t="str">
        <x:v>2026-09-25</x:v>
      </x:c>
      <x:c r="C47" s="8" t="str">
        <x:v>2026-09-26</x:v>
      </x:c>
      <x:c r="D47" s="8" t="str">
        <x:v>closed</x:v>
      </x:c>
      <x:c r="E47" s="8" t="str">
        <x:v>ONN9IX</x:v>
      </x:c>
      <x:c r="F47" s="8" t="str"/>
      <x:c r="G47" s="8" t="str">
        <x:v>https://github.com/ONN9IX/smart-garden/issues/51</x:v>
      </x:c>
    </x:row>
    <x:row r="48" ht="21" customHeight="1">
      <x:c r="A48" s="8" t="n">
        <x:v>52</x:v>
      </x:c>
      <x:c r="B48" s="8" t="str">
        <x:v>2026-09-25</x:v>
      </x:c>
      <x:c r="C48" s="8" t="str">
        <x:v>2026-09-26</x:v>
      </x:c>
      <x:c r="D48" s="8" t="str">
        <x:v>closed</x:v>
      </x:c>
      <x:c r="E48" s="8" t="str">
        <x:v>ONN9IX</x:v>
      </x:c>
      <x:c r="F48" s="8" t="str">
        <x:v>STAGE2-00 — Порядок разработки и контроль Stage 2</x:v>
      </x:c>
      <x:c r="G48" s="8" t="str">
        <x:v>https://github.com/ONN9IX/smart-garden/issues/52</x:v>
      </x:c>
    </x:row>
    <x:row r="49" ht="21" customHeight="1">
      <x:c r="A49" s="8" t="n">
        <x:v>68</x:v>
      </x:c>
      <x:c r="B49" s="8" t="str">
        <x:v>2026-09-26</x:v>
      </x:c>
      <x:c r="C49" s="8" t="str">
        <x:v>2026-09-26</x:v>
      </x:c>
      <x:c r="D49" s="8" t="str">
        <x:v>closed</x:v>
      </x:c>
      <x:c r="E49" s="8" t="str"/>
      <x:c r="F49" s="8" t="str"/>
      <x:c r="G49" s="8" t="str">
        <x:v>https://github.com/ONN9IX/smart-garden/issues/68</x:v>
      </x:c>
    </x:row>
    <x:row r="50" ht="21" customHeight="1">
      <x:c r="A50" s="8" t="n">
        <x:v>70</x:v>
      </x:c>
      <x:c r="B50" s="8" t="str">
        <x:v>2026-09-26</x:v>
      </x:c>
      <x:c r="C50" s="8" t="str">
        <x:v>2026-09-26</x:v>
      </x:c>
      <x:c r="D50" s="8" t="str">
        <x:v>closed</x:v>
      </x:c>
      <x:c r="E50" s="8" t="str"/>
      <x:c r="F50" s="8" t="str"/>
      <x:c r="G50" s="8" t="str">
        <x:v>https://github.com/ONN9IX/smart-garden/issues/70</x:v>
      </x:c>
    </x:row>
    <x:row r="51" ht="21" customHeight="1">
      <x:c r="A51" s="8" t="n">
        <x:v>72</x:v>
      </x:c>
      <x:c r="B51" s="8" t="str">
        <x:v>2026-09-26</x:v>
      </x:c>
      <x:c r="C51" s="8" t="str">
        <x:v>2026-09-26</x:v>
      </x:c>
      <x:c r="D51" s="8" t="str">
        <x:v>closed</x:v>
      </x:c>
      <x:c r="E51" s="8" t="str"/>
      <x:c r="F51" s="8" t="str"/>
      <x:c r="G51" s="8" t="str">
        <x:v>https://github.com/ONN9IX/smart-garden/issues/72</x:v>
      </x:c>
    </x:row>
    <x:row r="52" ht="21" customHeight="1">
      <x:c r="A52" s="8" t="n">
        <x:v>74</x:v>
      </x:c>
      <x:c r="B52" s="8" t="str">
        <x:v>2026-09-26</x:v>
      </x:c>
      <x:c r="C52" s="8" t="str">
        <x:v>2026-09-26</x:v>
      </x:c>
      <x:c r="D52" s="8" t="str">
        <x:v>closed</x:v>
      </x:c>
      <x:c r="E52" s="8" t="str"/>
      <x:c r="F52" s="8" t="str"/>
      <x:c r="G52" s="8" t="str">
        <x:v>https://github.com/ONN9IX/smart-garden/issues/74</x:v>
      </x:c>
    </x:row>
    <x:row r="53" ht="21" customHeight="1">
      <x:c r="A53" s="8" t="n">
        <x:v>76</x:v>
      </x:c>
      <x:c r="B53" s="8" t="str">
        <x:v>2026-09-26</x:v>
      </x:c>
      <x:c r="C53" s="8" t="str">
        <x:v>2026-09-26</x:v>
      </x:c>
      <x:c r="D53" s="8" t="str">
        <x:v>closed</x:v>
      </x:c>
      <x:c r="E53" s="8" t="str"/>
      <x:c r="F53" s="8" t="str"/>
      <x:c r="G53" s="8" t="str">
        <x:v>https://github.com/ONN9IX/smart-garden/issues/76</x:v>
      </x:c>
    </x:row>
    <x:row r="54" ht="21" customHeight="1">
      <x:c r="A54" s="8" t="n">
        <x:v>78</x:v>
      </x:c>
      <x:c r="B54" s="8" t="str">
        <x:v>2026-09-26</x:v>
      </x:c>
      <x:c r="C54" s="8" t="str">
        <x:v>2026-09-26</x:v>
      </x:c>
      <x:c r="D54" s="8" t="str">
        <x:v>closed</x:v>
      </x:c>
      <x:c r="E54" s="8" t="str"/>
      <x:c r="F54" s="8" t="str"/>
      <x:c r="G54" s="8" t="str">
        <x:v>https://github.com/ONN9IX/smart-garden/issues/78</x:v>
      </x:c>
    </x:row>
    <x:row r="55" ht="21" customHeight="1">
      <x:c r="A55" s="8" t="n">
        <x:v>80</x:v>
      </x:c>
      <x:c r="B55" s="8" t="str">
        <x:v>2026-09-26</x:v>
      </x:c>
      <x:c r="C55" s="8" t="str">
        <x:v>2026-09-26</x:v>
      </x:c>
      <x:c r="D55" s="8" t="str">
        <x:v>closed</x:v>
      </x:c>
      <x:c r="E55" s="8" t="str"/>
      <x:c r="F55" s="8" t="str"/>
      <x:c r="G55" s="8" t="str">
        <x:v>https://github.com/ONN9IX/smart-garden/issues/80</x:v>
      </x:c>
    </x:row>
    <x:row r="56" ht="21" customHeight="1">
      <x:c r="A56" s="8" t="n">
        <x:v>82</x:v>
      </x:c>
      <x:c r="B56" s="8" t="str">
        <x:v>2026-09-26</x:v>
      </x:c>
      <x:c r="C56" s="8" t="str">
        <x:v>2026-09-26</x:v>
      </x:c>
      <x:c r="D56" s="8" t="str">
        <x:v>closed</x:v>
      </x:c>
      <x:c r="E56" s="8" t="str"/>
      <x:c r="F56" s="8" t="str"/>
      <x:c r="G56" s="8" t="str">
        <x:v>https://github.com/ONN9IX/smart-garden/issues/82</x:v>
      </x:c>
    </x:row>
    <x:row r="57" ht="21" customHeight="1">
      <x:c r="A57" s="8" t="n">
        <x:v>84</x:v>
      </x:c>
      <x:c r="B57" s="8" t="str">
        <x:v>2026-09-26</x:v>
      </x:c>
      <x:c r="C57" s="8" t="str">
        <x:v>2026-09-26</x:v>
      </x:c>
      <x:c r="D57" s="8" t="str">
        <x:v>closed</x:v>
      </x:c>
      <x:c r="E57" s="8" t="str"/>
      <x:c r="F57" s="8" t="str"/>
      <x:c r="G57" s="8" t="str">
        <x:v>https://github.com/ONN9IX/smart-garden/issues/84</x:v>
      </x:c>
    </x:row>
    <x:row r="58" ht="21" customHeight="1">
      <x:c r="A58" s="8" t="n">
        <x:v>86</x:v>
      </x:c>
      <x:c r="B58" s="8" t="str">
        <x:v>2026-09-26</x:v>
      </x:c>
      <x:c r="C58" s="8" t="str">
        <x:v>2026-09-27</x:v>
      </x:c>
      <x:c r="D58" s="8" t="str">
        <x:v>closed</x:v>
      </x:c>
      <x:c r="E58" s="8" t="str"/>
      <x:c r="F58" s="8" t="str">
        <x:v>STAGE3-ACCEPTANCE — финальная приёмка и freeze Stage 3</x:v>
      </x:c>
      <x:c r="G58" s="8" t="str">
        <x:v>https://github.com/ONN9IX/smart-garden/issues/86</x:v>
      </x:c>
    </x:row>
    <x:row r="59" ht="21" customHeight="1">
      <x:c r="A59" s="8" t="n">
        <x:v>87</x:v>
      </x:c>
      <x:c r="B59" s="8" t="str">
        <x:v>2026-09-26</x:v>
      </x:c>
      <x:c r="C59" s="8" t="str">
        <x:v>2026-09-26</x:v>
      </x:c>
      <x:c r="D59" s="8" t="str">
        <x:v>closed</x:v>
      </x:c>
      <x:c r="E59" s="8" t="str"/>
      <x:c r="F59" s="8" t="str"/>
      <x:c r="G59" s="8" t="str">
        <x:v>https://github.com/ONN9IX/smart-garden/issues/87</x:v>
      </x:c>
    </x:row>
    <x:row r="60" ht="21" customHeight="1">
      <x:c r="A60" s="8" t="n">
        <x:v>88</x:v>
      </x:c>
      <x:c r="B60" s="8" t="str">
        <x:v>2026-09-26</x:v>
      </x:c>
      <x:c r="C60" s="8" t="str">
        <x:v>2026-09-26</x:v>
      </x:c>
      <x:c r="D60" s="8" t="str">
        <x:v>closed</x:v>
      </x:c>
      <x:c r="E60" s="8" t="str"/>
      <x:c r="F60" s="8" t="str"/>
      <x:c r="G60" s="8" t="str">
        <x:v>https://github.com/ONN9IX/smart-garden/issues/88</x:v>
      </x:c>
    </x:row>
    <x:row r="61" ht="21" customHeight="1">
      <x:c r="A61" s="8" t="n">
        <x:v>94</x:v>
      </x:c>
      <x:c r="B61" s="8" t="str">
        <x:v>2026-09-27</x:v>
      </x:c>
      <x:c r="C61" s="8" t="str">
        <x:v>2026-09-28</x:v>
      </x:c>
      <x:c r="D61" s="8" t="str">
        <x:v>closed</x:v>
      </x:c>
      <x:c r="E61" s="8" t="str"/>
      <x:c r="F61" s="8" t="str">
        <x:v>STAGE4-AUDIT — immutable business audit vertical slice</x:v>
      </x:c>
      <x:c r="G61" s="8" t="str">
        <x:v>https://github.com/ONN9IX/smart-garden/issues/94</x:v>
      </x:c>
    </x:row>
    <x:row r="62" ht="21" customHeight="1">
      <x:c r="A62" s="8" t="n">
        <x:v>95</x:v>
      </x:c>
      <x:c r="B62" s="8" t="str">
        <x:v>2026-09-27</x:v>
      </x:c>
      <x:c r="C62" s="8" t="str">
        <x:v>2026-09-28</x:v>
      </x:c>
      <x:c r="D62" s="8" t="str">
        <x:v>closed</x:v>
      </x:c>
      <x:c r="E62" s="8" t="str"/>
      <x:c r="F62" s="8" t="str"/>
      <x:c r="G62" s="8" t="str">
        <x:v>https://github.com/ONN9IX/smart-garden/issues/95</x:v>
      </x:c>
    </x:row>
    <x:row r="63" ht="21" customHeight="1">
      <x:c r="A63" s="8" t="n">
        <x:v>98</x:v>
      </x:c>
      <x:c r="B63" s="8" t="str">
        <x:v>2026-09-28</x:v>
      </x:c>
      <x:c r="C63" s="8" t="str">
        <x:v>2026-09-28</x:v>
      </x:c>
      <x:c r="D63" s="8" t="str">
        <x:v>closed</x:v>
      </x:c>
      <x:c r="E63" s="8" t="str"/>
      <x:c r="F63" s="8" t="str">
        <x:v>STAGE4-ACCEPTANCE — финальная приёмка и freeze Stage 4</x:v>
      </x:c>
      <x:c r="G63" s="8" t="str">
        <x:v>https://github.com/ONN9IX/smart-garden/issues/98</x:v>
      </x:c>
    </x:row>
    <x:row r="64" ht="21" customHeight="1">
      <x:c r="A64" s="8" t="n">
        <x:v>99</x:v>
      </x:c>
      <x:c r="B64" s="8" t="str">
        <x:v>2026-09-28</x:v>
      </x:c>
      <x:c r="C64" s="8" t="str">
        <x:v>2026-09-28</x:v>
      </x:c>
      <x:c r="D64" s="8" t="str">
        <x:v>closed</x:v>
      </x:c>
      <x:c r="E64" s="8" t="str"/>
      <x:c r="F64" s="8" t="str"/>
      <x:c r="G64" s="8" t="str">
        <x:v>https://github.com/ONN9IX/smart-garden/issues/99</x:v>
      </x:c>
    </x:row>
    <x:row r="65" ht="21" customHeight="1">
      <x:c r="A65" s="8" t="n">
        <x:v>102</x:v>
      </x:c>
      <x:c r="B65" s="8" t="str">
        <x:v>2026-09-28</x:v>
      </x:c>
      <x:c r="C65" s="8" t="str">
        <x:v>2026-09-29</x:v>
      </x:c>
      <x:c r="D65" s="8" t="str">
        <x:v>closed</x:v>
      </x:c>
      <x:c r="E65" s="8" t="str"/>
      <x:c r="F65" s="8" t="str"/>
      <x:c r="G65" s="8" t="str">
        <x:v>https://github.com/ONN9IX/smart-garden/issues/102</x:v>
      </x:c>
    </x:row>
    <x:row r="66" ht="21" customHeight="1">
      <x:c r="A66" s="8" t="n">
        <x:v>103</x:v>
      </x:c>
      <x:c r="B66" s="8" t="str">
        <x:v>2026-09-28</x:v>
      </x:c>
      <x:c r="C66" s="8" t="str">
        <x:v>2026-09-29</x:v>
      </x:c>
      <x:c r="D66" s="8" t="str">
        <x:v>closed</x:v>
      </x:c>
      <x:c r="E66" s="8" t="str">
        <x:v>ONN9IX</x:v>
      </x:c>
      <x:c r="F66" s="8" t="str"/>
      <x:c r="G66" s="8" t="str">
        <x:v>https://github.com/ONN9IX/smart-garden/issues/103</x:v>
      </x:c>
    </x:row>
    <x:row r="67" ht="21" customHeight="1">
      <x:c r="A67" s="8" t="n">
        <x:v>106</x:v>
      </x:c>
      <x:c r="B67" s="8" t="str">
        <x:v>2026-09-29</x:v>
      </x:c>
      <x:c r="C67" s="8" t="str">
        <x:v>2026-09-29</x:v>
      </x:c>
      <x:c r="D67" s="8" t="str">
        <x:v>closed</x:v>
      </x:c>
      <x:c r="E67" s="8" t="str">
        <x:v>F1zname</x:v>
      </x:c>
      <x:c r="F67" s="8" t="str"/>
      <x:c r="G67" s="8" t="str">
        <x:v>https://github.com/ONN9IX/smart-garden/issues/106</x:v>
      </x:c>
    </x:row>
    <x:row r="68" ht="21" customHeight="1">
      <x:c r="A68" s="8" t="n">
        <x:v>107</x:v>
      </x:c>
      <x:c r="B68" s="8" t="str">
        <x:v>2026-09-29</x:v>
      </x:c>
      <x:c r="C68" s="8" t="str">
        <x:v>2026-09-29</x:v>
      </x:c>
      <x:c r="D68" s="8" t="str">
        <x:v>closed</x:v>
      </x:c>
      <x:c r="E68" s="8" t="str">
        <x:v>F1zname</x:v>
      </x:c>
      <x:c r="F68" s="8" t="str"/>
      <x:c r="G68" s="8" t="str">
        <x:v>https://github.com/ONN9IX/smart-garden/issues/107</x:v>
      </x:c>
    </x:row>
    <x:row r="69" ht="21" customHeight="1">
      <x:c r="A69" s="8" t="n">
        <x:v>108</x:v>
      </x:c>
      <x:c r="B69" s="8" t="str">
        <x:v>2026-09-29</x:v>
      </x:c>
      <x:c r="C69" s="8" t="str">
        <x:v>2026-09-29</x:v>
      </x:c>
      <x:c r="D69" s="8" t="str">
        <x:v>closed</x:v>
      </x:c>
      <x:c r="E69" s="8" t="str">
        <x:v>ONN9IX</x:v>
      </x:c>
      <x:c r="F69" s="8" t="str"/>
      <x:c r="G69" s="8" t="str">
        <x:v>https://github.com/ONN9IX/smart-garden/issues/108</x:v>
      </x:c>
    </x:row>
    <x:row r="70" ht="21" customHeight="1">
      <x:c r="A70" s="8" t="n">
        <x:v>112</x:v>
      </x:c>
      <x:c r="B70" s="8" t="str">
        <x:v>2026-09-29</x:v>
      </x:c>
      <x:c r="C70" s="8" t="str">
        <x:v>2026-09-29</x:v>
      </x:c>
      <x:c r="D70" s="8" t="str">
        <x:v>closed</x:v>
      </x:c>
      <x:c r="E70" s="8" t="str">
        <x:v>F1zname</x:v>
      </x:c>
      <x:c r="F70" s="8" t="str"/>
      <x:c r="G70" s="8" t="str">
        <x:v>https://github.com/ONN9IX/smart-garden/issues/112</x:v>
      </x:c>
    </x:row>
    <x:row r="71" ht="21" customHeight="1">
      <x:c r="A71" s="8" t="n">
        <x:v>114</x:v>
      </x:c>
      <x:c r="B71" s="8" t="str">
        <x:v>2026-09-29</x:v>
      </x:c>
      <x:c r="C71" s="8" t="str">
        <x:v>2026-09-29</x:v>
      </x:c>
      <x:c r="D71" s="8" t="str">
        <x:v>closed</x:v>
      </x:c>
      <x:c r="E71" s="8" t="str">
        <x:v>F1zname</x:v>
      </x:c>
      <x:c r="F71" s="8" t="str"/>
      <x:c r="G71" s="8" t="str">
        <x:v>https://github.com/ONN9IX/smart-garden/issues/114</x:v>
      </x:c>
    </x:row>
    <x:row r="72" ht="21" customHeight="1">
      <x:c r="A72" s="8" t="n">
        <x:v>115</x:v>
      </x:c>
      <x:c r="B72" s="8" t="str">
        <x:v>2026-09-29</x:v>
      </x:c>
      <x:c r="C72" s="8" t="str">
        <x:v>2026-09-29</x:v>
      </x:c>
      <x:c r="D72" s="8" t="str">
        <x:v>closed</x:v>
      </x:c>
      <x:c r="E72" s="8" t="str">
        <x:v>F1zname</x:v>
      </x:c>
      <x:c r="F72" s="8" t="str"/>
      <x:c r="G72" s="8" t="str">
        <x:v>https://github.com/ONN9IX/smart-garden/issues/115</x:v>
      </x:c>
    </x:row>
    <x:row r="73" ht="21" customHeight="1">
      <x:c r="A73" s="8" t="n">
        <x:v>117</x:v>
      </x:c>
      <x:c r="B73" s="8" t="str">
        <x:v>2026-09-29</x:v>
      </x:c>
      <x:c r="C73" s="8" t="str">
        <x:v>2026-09-29</x:v>
      </x:c>
      <x:c r="D73" s="8" t="str">
        <x:v>closed</x:v>
      </x:c>
      <x:c r="E73" s="8" t="str">
        <x:v>F1zname</x:v>
      </x:c>
      <x:c r="F73" s="8" t="str">
        <x:v>STAGE5-ACCEPTANCE — final technical acceptance and freeze</x:v>
      </x:c>
      <x:c r="G73" s="8" t="str">
        <x:v>https://github.com/ONN9IX/smart-garden/issues/117</x:v>
      </x:c>
    </x:row>
    <x:row r="74" ht="21" customHeight="1">
      <x:c r="A74" s="8" t="n">
        <x:v>119</x:v>
      </x:c>
      <x:c r="B74" s="8" t="str">
        <x:v>2026-09-29</x:v>
      </x:c>
      <x:c r="C74" s="8" t="str">
        <x:v>2026-09-29</x:v>
      </x:c>
      <x:c r="D74" s="8" t="str">
        <x:v>closed</x:v>
      </x:c>
      <x:c r="E74" s="8" t="str">
        <x:v>F1zname</x:v>
      </x:c>
      <x:c r="F74" s="8" t="str"/>
      <x:c r="G74" s="8" t="str">
        <x:v>https://github.com/ONN9IX/smart-garden/issues/119</x:v>
      </x:c>
    </x:row>
    <x:row r="75" ht="21" customHeight="1">
      <x:c r="A75" s="8" t="n">
        <x:v>121</x:v>
      </x:c>
      <x:c r="B75" s="8" t="str">
        <x:v>2026-09-30</x:v>
      </x:c>
      <x:c r="C75" s="8" t="str">
        <x:v>2026-09-30</x:v>
      </x:c>
      <x:c r="D75" s="8" t="str">
        <x:v>closed</x:v>
      </x:c>
      <x:c r="E75" s="8" t="str">
        <x:v>F1zname</x:v>
      </x:c>
      <x:c r="F75" s="8" t="str"/>
      <x:c r="G75" s="8" t="str">
        <x:v>https://github.com/ONN9IX/smart-garden/issues/121</x:v>
      </x:c>
    </x:row>
    <x:row r="76" ht="21" customHeight="1">
      <x:c r="A76" s="8" t="n">
        <x:v>123</x:v>
      </x:c>
      <x:c r="B76" s="8" t="str">
        <x:v>2026-09-30</x:v>
      </x:c>
      <x:c r="C76" s="8" t="str">
        <x:v>2026-09-30</x:v>
      </x:c>
      <x:c r="D76" s="8" t="str">
        <x:v>closed</x:v>
      </x:c>
      <x:c r="E76" s="8" t="str">
        <x:v>ONN9IX</x:v>
      </x:c>
      <x:c r="F76" s="8" t="str"/>
      <x:c r="G76" s="8" t="str">
        <x:v>https://github.com/ONN9IX/smart-garden/issues/123</x:v>
      </x:c>
    </x:row>
    <x:row r="77" ht="21" customHeight="1">
      <x:c r="A77" s="8" t="n">
        <x:v>124</x:v>
      </x:c>
      <x:c r="B77" s="8" t="str">
        <x:v>2026-09-30</x:v>
      </x:c>
      <x:c r="C77" s="8" t="str">
        <x:v>2026-09-30</x:v>
      </x:c>
      <x:c r="D77" s="8" t="str">
        <x:v>closed</x:v>
      </x:c>
      <x:c r="E77" s="8" t="str">
        <x:v>F1zname</x:v>
      </x:c>
      <x:c r="F77" s="8" t="str"/>
      <x:c r="G77" s="8" t="str">
        <x:v>https://github.com/ONN9IX/smart-garden/issues/124</x:v>
      </x:c>
    </x:row>
    <x:row r="78" ht="21" customHeight="1">
      <x:c r="A78" s="8" t="n">
        <x:v>126</x:v>
      </x:c>
      <x:c r="B78" s="8" t="str">
        <x:v>2026-09-30</x:v>
      </x:c>
      <x:c r="C78" s="8" t="str">
        <x:v>2026-09-30</x:v>
      </x:c>
      <x:c r="D78" s="8" t="str">
        <x:v>closed</x:v>
      </x:c>
      <x:c r="E78" s="8" t="str">
        <x:v>ONN9IX</x:v>
      </x:c>
      <x:c r="F78" s="8" t="str"/>
      <x:c r="G78" s="8" t="str">
        <x:v>https://github.com/ONN9IX/smart-garden/issues/126</x:v>
      </x:c>
    </x:row>
    <x:row r="79" ht="21" customHeight="1">
      <x:c r="A79" s="8" t="n">
        <x:v>129</x:v>
      </x:c>
      <x:c r="B79" s="8" t="str">
        <x:v>2026-09-30</x:v>
      </x:c>
      <x:c r="C79" s="8" t="str">
        <x:v>2026-09-30</x:v>
      </x:c>
      <x:c r="D79" s="8" t="str">
        <x:v>closed</x:v>
      </x:c>
      <x:c r="E79" s="8" t="str">
        <x:v>F1zname</x:v>
      </x:c>
      <x:c r="F79" s="8" t="str"/>
      <x:c r="G79" s="8" t="str">
        <x:v>https://github.com/ONN9IX/smart-garden/issues/129</x:v>
      </x:c>
    </x:row>
    <x:row r="80" ht="21" customHeight="1">
      <x:c r="A80" s="8" t="n">
        <x:v>131</x:v>
      </x:c>
      <x:c r="B80" s="8" t="str">
        <x:v>2026-09-30</x:v>
      </x:c>
      <x:c r="C80" s="8" t="str">
        <x:v>2026-10-01</x:v>
      </x:c>
      <x:c r="D80" s="8" t="str">
        <x:v>closed</x:v>
      </x:c>
      <x:c r="E80" s="8" t="str">
        <x:v>F1zname</x:v>
      </x:c>
      <x:c r="F80" s="8" t="str"/>
      <x:c r="G80" s="8" t="str">
        <x:v>https://github.com/ONN9IX/smart-garden/issues/131</x:v>
      </x:c>
    </x:row>
    <x:row r="81" ht="21" customHeight="1">
      <x:c r="A81" s="8" t="n">
        <x:v>132</x:v>
      </x:c>
      <x:c r="B81" s="8" t="str">
        <x:v>2026-09-30</x:v>
      </x:c>
      <x:c r="C81" s="8" t="str">
        <x:v>2026-09-30</x:v>
      </x:c>
      <x:c r="D81" s="8" t="str">
        <x:v>closed</x:v>
      </x:c>
      <x:c r="E81" s="8" t="str">
        <x:v>ONN9IX</x:v>
      </x:c>
      <x:c r="F81" s="8" t="str"/>
      <x:c r="G81" s="8" t="str">
        <x:v>https://github.com/ONN9IX/smart-garden/issues/132</x:v>
      </x:c>
    </x:row>
    <x:row r="82" ht="21" customHeight="1">
      <x:c r="A82" s="8" t="n">
        <x:v>133</x:v>
      </x:c>
      <x:c r="B82" s="8" t="str">
        <x:v>2026-09-30</x:v>
      </x:c>
      <x:c r="C82" s="8" t="str">
        <x:v>2026-09-30</x:v>
      </x:c>
      <x:c r="D82" s="8" t="str">
        <x:v>closed</x:v>
      </x:c>
      <x:c r="E82" s="8" t="str">
        <x:v>ONN9IX</x:v>
      </x:c>
      <x:c r="F82" s="8" t="str"/>
      <x:c r="G82" s="8" t="str">
        <x:v>https://github.com/ONN9IX/smart-garden/issues/133</x:v>
      </x:c>
    </x:row>
    <x:row r="83" ht="21" customHeight="1">
      <x:c r="A83" s="8" t="n">
        <x:v>135</x:v>
      </x:c>
      <x:c r="B83" s="8" t="str">
        <x:v>2026-09-30</x:v>
      </x:c>
      <x:c r="C83" s="8" t="str">
        <x:v>2026-09-30</x:v>
      </x:c>
      <x:c r="D83" s="8" t="str">
        <x:v>closed</x:v>
      </x:c>
      <x:c r="E83" s="8" t="str">
        <x:v>ONN9IX</x:v>
      </x:c>
      <x:c r="F83" s="8" t="str"/>
      <x:c r="G83" s="8" t="str">
        <x:v>https://github.com/ONN9IX/smart-garden/issues/135</x:v>
      </x:c>
    </x:row>
    <x:row r="84" ht="21" customHeight="1">
      <x:c r="A84" s="8" t="n">
        <x:v>137</x:v>
      </x:c>
      <x:c r="B84" s="8" t="str">
        <x:v>2026-09-30</x:v>
      </x:c>
      <x:c r="C84" s="8" t="str">
        <x:v>2026-09-30</x:v>
      </x:c>
      <x:c r="D84" s="8" t="str">
        <x:v>closed</x:v>
      </x:c>
      <x:c r="E84" s="8" t="str">
        <x:v>ONN9IX</x:v>
      </x:c>
      <x:c r="F84" s="8" t="str"/>
      <x:c r="G84" s="8" t="str">
        <x:v>https://github.com/ONN9IX/smart-garden/issues/137</x:v>
      </x:c>
    </x:row>
    <x:row r="85" ht="21" customHeight="1">
      <x:c r="A85" s="8" t="n">
        <x:v>139</x:v>
      </x:c>
      <x:c r="B85" s="8" t="str">
        <x:v>2026-09-30</x:v>
      </x:c>
      <x:c r="C85" s="8" t="str">
        <x:v>2026-09-30</x:v>
      </x:c>
      <x:c r="D85" s="8" t="str">
        <x:v>closed</x:v>
      </x:c>
      <x:c r="E85" s="8" t="str">
        <x:v>ONN9IX</x:v>
      </x:c>
      <x:c r="F85" s="8" t="str"/>
      <x:c r="G85" s="8" t="str">
        <x:v>https://github.com/ONN9IX/smart-garden/issues/139</x:v>
      </x:c>
    </x:row>
    <x:row r="86" ht="21" customHeight="1">
      <x:c r="A86" s="8" t="n">
        <x:v>142</x:v>
      </x:c>
      <x:c r="B86" s="8" t="str">
        <x:v>2026-10-01</x:v>
      </x:c>
      <x:c r="C86" s="8" t="str">
        <x:v>2026-10-01</x:v>
      </x:c>
      <x:c r="D86" s="8" t="str">
        <x:v>closed</x:v>
      </x:c>
      <x:c r="E86" s="8" t="str">
        <x:v>ONN9IX</x:v>
      </x:c>
      <x:c r="F86" s="8" t="str"/>
      <x:c r="G86" s="8" t="str">
        <x:v>https://github.com/ONN9IX/smart-garden/issues/142</x:v>
      </x:c>
    </x:row>
    <x:row r="87" ht="21" customHeight="1">
      <x:c r="A87" s="8" t="n">
        <x:v>144</x:v>
      </x:c>
      <x:c r="B87" s="8" t="str">
        <x:v>2026-10-01</x:v>
      </x:c>
      <x:c r="C87" s="8" t="str">
        <x:v>2026-10-01</x:v>
      </x:c>
      <x:c r="D87" s="8" t="str">
        <x:v>closed</x:v>
      </x:c>
      <x:c r="E87" s="8" t="str">
        <x:v>ONN9IX</x:v>
      </x:c>
      <x:c r="F87" s="8" t="str"/>
      <x:c r="G87" s="8" t="str">
        <x:v>https://github.com/ONN9IX/smart-garden/issues/144</x:v>
      </x:c>
    </x:row>
    <x:row r="88" ht="21" customHeight="1">
      <x:c r="A88" s="8" t="n">
        <x:v>146</x:v>
      </x:c>
      <x:c r="B88" s="8" t="str">
        <x:v>2026-10-01</x:v>
      </x:c>
      <x:c r="C88" s="8" t="str">
        <x:v>2026-10-01</x:v>
      </x:c>
      <x:c r="D88" s="8" t="str">
        <x:v>closed</x:v>
      </x:c>
      <x:c r="E88" s="8" t="str">
        <x:v>ONN9IX</x:v>
      </x:c>
      <x:c r="F88" s="8" t="str"/>
      <x:c r="G88" s="8" t="str">
        <x:v>https://github.com/ONN9IX/smart-garden/issues/146</x:v>
      </x:c>
    </x:row>
    <x:row r="89" ht="21" customHeight="1">
      <x:c r="A89" s="8" t="n">
        <x:v>148</x:v>
      </x:c>
      <x:c r="B89" s="8" t="str">
        <x:v>2026-10-01</x:v>
      </x:c>
      <x:c r="C89" s="8" t="str">
        <x:v>2026-10-01</x:v>
      </x:c>
      <x:c r="D89" s="8" t="str">
        <x:v>closed</x:v>
      </x:c>
      <x:c r="E89" s="8" t="str">
        <x:v>ONN9IX</x:v>
      </x:c>
      <x:c r="F89" s="8" t="str"/>
      <x:c r="G89" s="8" t="str">
        <x:v>https://github.com/ONN9IX/smart-garden/issues/148</x:v>
      </x:c>
    </x:row>
    <x:row r="90" ht="21" customHeight="1">
      <x:c r="A90" s="8" t="n">
        <x:v>150</x:v>
      </x:c>
      <x:c r="B90" s="8" t="str">
        <x:v>2026-10-01</x:v>
      </x:c>
      <x:c r="C90" s="8" t="str">
        <x:v>2026-10-01</x:v>
      </x:c>
      <x:c r="D90" s="8" t="str">
        <x:v>closed</x:v>
      </x:c>
      <x:c r="E90" s="8" t="str">
        <x:v>ONN9IX</x:v>
      </x:c>
      <x:c r="F90" s="8" t="str"/>
      <x:c r="G90" s="8" t="str">
        <x:v>https://github.com/ONN9IX/smart-garden/issues/150</x:v>
      </x:c>
    </x:row>
    <x:row r="91" ht="21" customHeight="1">
      <x:c r="A91" s="8" t="n">
        <x:v>152</x:v>
      </x:c>
      <x:c r="B91" s="8" t="str">
        <x:v>2026-10-01</x:v>
      </x:c>
      <x:c r="C91" s="8" t="str">
        <x:v>2026-10-01</x:v>
      </x:c>
      <x:c r="D91" s="8" t="str">
        <x:v>closed</x:v>
      </x:c>
      <x:c r="E91" s="8" t="str">
        <x:v>ONN9IX</x:v>
      </x:c>
      <x:c r="F91" s="8" t="str">
        <x:v>S6-ACCEPTANCE — integrated four-role acceptance and product freeze</x:v>
      </x:c>
      <x:c r="G91" s="8" t="str">
        <x:v>https://github.com/ONN9IX/smart-garden/issues/152</x:v>
      </x:c>
    </x:row>
    <x:row r="92" ht="21" customHeight="1">
      <x:c r="A92" s="8" t="n">
        <x:v>154</x:v>
      </x:c>
      <x:c r="B92" s="8" t="str">
        <x:v>2026-10-01</x:v>
      </x:c>
      <x:c r="C92" s="8" t="str">
        <x:v>2026-10-01</x:v>
      </x:c>
      <x:c r="D92" s="8" t="str">
        <x:v>closed</x:v>
      </x:c>
      <x:c r="E92" s="8" t="str">
        <x:v>ONN9IX</x:v>
      </x:c>
      <x:c r="F92" s="8" t="str"/>
      <x:c r="G92" s="8" t="str">
        <x:v>https://github.com/ONN9IX/smart-garden/issues/154</x:v>
      </x:c>
    </x:row>
    <x:row r="93" ht="21" customHeight="1">
      <x:c r="A93" s="8" t="n">
        <x:v>156</x:v>
      </x:c>
      <x:c r="B93" s="8" t="str">
        <x:v>2026-10-01</x:v>
      </x:c>
      <x:c r="C93" s="8" t="str">
        <x:v>2026-10-01</x:v>
      </x:c>
      <x:c r="D93" s="8" t="str">
        <x:v>closed</x:v>
      </x:c>
      <x:c r="E93" s="8" t="str">
        <x:v>ONN9IX</x:v>
      </x:c>
      <x:c r="F93" s="8" t="str"/>
      <x:c r="G93" s="8" t="str">
        <x:v>https://github.com/ONN9IX/smart-garden/issues/156</x:v>
      </x:c>
    </x:row>
    <x:row r="94" ht="21" customHeight="1">
      <x:c r="A94" s="8" t="n">
        <x:v>158</x:v>
      </x:c>
      <x:c r="B94" s="8" t="str">
        <x:v>2026-10-01</x:v>
      </x:c>
      <x:c r="C94" s="8" t="str">
        <x:v>2026-10-07</x:v>
      </x:c>
      <x:c r="D94" s="8" t="str">
        <x:v>closed</x:v>
      </x:c>
      <x:c r="E94" s="8" t="str">
        <x:v>ONN9IX</x:v>
      </x:c>
      <x:c r="F94" s="8" t="str">
        <x:v>MANUAL-ACCEPTANCE — three-device MVP verification</x:v>
      </x:c>
      <x:c r="G94" s="8" t="str">
        <x:v>https://github.com/ONN9IX/smart-garden/issues/158</x:v>
      </x:c>
    </x:row>
    <x:row r="95" ht="21" customHeight="1">
      <x:c r="A95" s="8" t="n">
        <x:v>159</x:v>
      </x:c>
      <x:c r="B95" s="8" t="str">
        <x:v>2026-10-02</x:v>
      </x:c>
      <x:c r="C95" s="8" t="str">
        <x:v>2026-10-02</x:v>
      </x:c>
      <x:c r="D95" s="8" t="str">
        <x:v>closed</x:v>
      </x:c>
      <x:c r="E95" s="8" t="str">
        <x:v>ONN9IX</x:v>
      </x:c>
      <x:c r="F95" s="8" t="str"/>
      <x:c r="G95" s="8" t="str">
        <x:v>https://github.com/ONN9IX/smart-garden/issues/159</x:v>
      </x:c>
    </x:row>
    <x:row r="96" ht="21" customHeight="1">
      <x:c r="A96" s="8" t="n">
        <x:v>161</x:v>
      </x:c>
      <x:c r="B96" s="8" t="str">
        <x:v>2026-10-05</x:v>
      </x:c>
      <x:c r="C96" s="8" t="str"/>
      <x:c r="D96" s="8" t="str">
        <x:v>open</x:v>
      </x:c>
      <x:c r="E96" s="8" t="str">
        <x:v>ONN9IX</x:v>
      </x:c>
      <x:c r="F96" s="8" t="str">
        <x:v>INTEGRATIONS-DESIGN — Bitrix24 / external CRM architecture</x:v>
      </x:c>
      <x:c r="G96" s="8" t="str">
        <x:v>https://github.com/ONN9IX/smart-garden/issues/161</x:v>
      </x:c>
    </x:row>
    <x:row r="97" ht="21" customHeight="1">
      <x:c r="A97" s="8" t="n">
        <x:v>162</x:v>
      </x:c>
      <x:c r="B97" s="8" t="str">
        <x:v>2026-10-05</x:v>
      </x:c>
      <x:c r="C97" s="8" t="str"/>
      <x:c r="D97" s="8" t="str">
        <x:v>open</x:v>
      </x:c>
      <x:c r="E97" s="8" t="str">
        <x:v>ONN9IX</x:v>
      </x:c>
      <x:c r="F97" s="8" t="str">
        <x:v>CORE-01 — универсальные профили KINDERGARTEN / GYMNASTICS (ПРОМАКС 2.0)</x:v>
      </x:c>
      <x:c r="G97" s="8" t="str">
        <x:v>https://github.com/ONN9IX/smart-garden/issues/162</x:v>
      </x:c>
    </x:row>
    <x:row r="98" ht="21" customHeight="1">
      <x:c r="A98" s="8" t="n">
        <x:v>163</x:v>
      </x:c>
      <x:c r="B98" s="8" t="str">
        <x:v>2026-10-06</x:v>
      </x:c>
      <x:c r="C98" s="8" t="str">
        <x:v>2026-10-06</x:v>
      </x:c>
      <x:c r="D98" s="8" t="str">
        <x:v>closed</x:v>
      </x:c>
      <x:c r="E98" s="8" t="str">
        <x:v>ONN9IX</x:v>
      </x:c>
      <x:c r="F98" s="8" t="str"/>
      <x:c r="G98" s="8" t="str">
        <x:v>https://github.com/ONN9IX/smart-garden/issues/163</x:v>
      </x:c>
    </x:row>
    <x:row r="99" ht="21" customHeight="1">
      <x:c r="A99" s="8" t="n">
        <x:v>164</x:v>
      </x:c>
      <x:c r="B99" s="8" t="str">
        <x:v>2026-10-06</x:v>
      </x:c>
      <x:c r="C99" s="8" t="str">
        <x:v>2026-10-07</x:v>
      </x:c>
      <x:c r="D99" s="8" t="str">
        <x:v>closed</x:v>
      </x:c>
      <x:c r="E99" s="8" t="str">
        <x:v>ONN9IX</x:v>
      </x:c>
      <x:c r="F99" s="8" t="str"/>
      <x:c r="G99" s="8" t="str">
        <x:v>https://github.com/ONN9IX/smart-garden/issues/164</x:v>
      </x:c>
    </x:row>
    <x:row r="100" ht="21" customHeight="1">
      <x:c r="A100" s="8" t="n">
        <x:v>166</x:v>
      </x:c>
      <x:c r="B100" s="8" t="str">
        <x:v>2026-10-06</x:v>
      </x:c>
      <x:c r="C100" s="8" t="str">
        <x:v>2026-10-06</x:v>
      </x:c>
      <x:c r="D100" s="8" t="str">
        <x:v>closed</x:v>
      </x:c>
      <x:c r="E100" s="8" t="str">
        <x:v>ONN9IX</x:v>
      </x:c>
      <x:c r="F100" s="8" t="str"/>
      <x:c r="G100" s="8" t="str">
        <x:v>https://github.com/ONN9IX/smart-garden/issues/166</x:v>
      </x:c>
    </x:row>
    <x:row r="101" ht="21" customHeight="1">
      <x:c r="A101" s="8" t="n">
        <x:v>168</x:v>
      </x:c>
      <x:c r="B101" s="8" t="str">
        <x:v>2026-10-06</x:v>
      </x:c>
      <x:c r="C101" s="8" t="str">
        <x:v>2026-10-06</x:v>
      </x:c>
      <x:c r="D101" s="8" t="str">
        <x:v>closed</x:v>
      </x:c>
      <x:c r="E101" s="8" t="str">
        <x:v>ONN9IX</x:v>
      </x:c>
      <x:c r="F101" s="8" t="str"/>
      <x:c r="G101" s="8" t="str">
        <x:v>https://github.com/ONN9IX/smart-garden/issues/168</x:v>
      </x:c>
    </x:row>
    <x:row r="102" ht="21" customHeight="1">
      <x:c r="A102" s="8" t="n">
        <x:v>170</x:v>
      </x:c>
      <x:c r="B102" s="8" t="str">
        <x:v>2026-10-06</x:v>
      </x:c>
      <x:c r="C102" s="8" t="str"/>
      <x:c r="D102" s="8" t="str">
        <x:v>open</x:v>
      </x:c>
      <x:c r="E102" s="8" t="str">
        <x:v>ONN9IX</x:v>
      </x:c>
      <x:c r="F102" s="8" t="str">
        <x:v>PLATFORM-LIFECYCLE — runtime and dependency upgrade guardrails</x:v>
      </x:c>
      <x:c r="G102" s="8" t="str">
        <x:v>https://github.com/ONN9IX/smart-garden/issues/170</x:v>
      </x:c>
    </x:row>
    <x:row r="103" ht="21" customHeight="1">
      <x:c r="A103" s="8" t="n">
        <x:v>171</x:v>
      </x:c>
      <x:c r="B103" s="8" t="str">
        <x:v>2026-10-06</x:v>
      </x:c>
      <x:c r="C103" s="8" t="str"/>
      <x:c r="D103" s="8" t="str">
        <x:v>open</x:v>
      </x:c>
      <x:c r="E103" s="8" t="str"/>
      <x:c r="F103" s="8" t="str">
        <x:v>PEOPLE-UX-DESIGN — DIRECTOR v2 people, groups and person profiles</x:v>
      </x:c>
      <x:c r="G103" s="8" t="str">
        <x:v>https://github.com/ONN9IX/smart-garden/issues/171</x:v>
      </x:c>
    </x:row>
    <x:row r="104" ht="21" customHeight="1">
      <x:c r="A104" s="8" t="n">
        <x:v>172</x:v>
      </x:c>
      <x:c r="B104" s="8" t="str">
        <x:v>2026-10-07</x:v>
      </x:c>
      <x:c r="C104" s="8" t="str">
        <x:v>2026-10-07</x:v>
      </x:c>
      <x:c r="D104" s="8" t="str">
        <x:v>closed</x:v>
      </x:c>
      <x:c r="E104" s="8" t="str"/>
      <x:c r="F104" s="8" t="str"/>
      <x:c r="G104" s="8" t="str">
        <x:v>https://github.com/ONN9IX/smart-garden/issues/172</x:v>
      </x:c>
    </x:row>
    <x:row r="105" ht="21" customHeight="1">
      <x:c r="A105" s="8" t="n">
        <x:v>173</x:v>
      </x:c>
      <x:c r="B105" s="8" t="str">
        <x:v>2026-10-07</x:v>
      </x:c>
      <x:c r="C105" s="8" t="str">
        <x:v>2026-10-07</x:v>
      </x:c>
      <x:c r="D105" s="8" t="str">
        <x:v>closed</x:v>
      </x:c>
      <x:c r="E105" s="8" t="str"/>
      <x:c r="F105" s="8" t="str"/>
      <x:c r="G105" s="8" t="str">
        <x:v>https://github.com/ONN9IX/smart-garden/issues/173</x:v>
      </x:c>
    </x:row>
    <x:row r="106" ht="21" customHeight="1">
      <x:c r="A106" s="8" t="n">
        <x:v>174</x:v>
      </x:c>
      <x:c r="B106" s="8" t="str">
        <x:v>2026-10-07</x:v>
      </x:c>
      <x:c r="C106" s="8" t="str">
        <x:v>2026-10-08</x:v>
      </x:c>
      <x:c r="D106" s="8" t="str">
        <x:v>closed</x:v>
      </x:c>
      <x:c r="E106" s="8" t="str"/>
      <x:c r="F106" s="8" t="str"/>
      <x:c r="G106" s="8" t="str">
        <x:v>https://github.com/ONN9IX/smart-garden/issues/174</x:v>
      </x:c>
    </x:row>
    <x:row r="107" ht="21" customHeight="1">
      <x:c r="A107" s="8" t="n">
        <x:v>175</x:v>
      </x:c>
      <x:c r="B107" s="8" t="str">
        <x:v>2026-10-07</x:v>
      </x:c>
      <x:c r="C107" s="8" t="str">
        <x:v>2026-10-08</x:v>
      </x:c>
      <x:c r="D107" s="8" t="str">
        <x:v>closed</x:v>
      </x:c>
      <x:c r="E107" s="8" t="str"/>
      <x:c r="F107" s="8" t="str"/>
      <x:c r="G107" s="8" t="str">
        <x:v>https://github.com/ONN9IX/smart-garden/issues/175</x:v>
      </x:c>
    </x:row>
    <x:row r="108" ht="21" customHeight="1">
      <x:c r="A108" s="8" t="n">
        <x:v>176</x:v>
      </x:c>
      <x:c r="B108" s="8" t="str">
        <x:v>2026-10-07</x:v>
      </x:c>
      <x:c r="C108" s="8" t="str">
        <x:v>2026-10-07</x:v>
      </x:c>
      <x:c r="D108" s="8" t="str">
        <x:v>closed</x:v>
      </x:c>
      <x:c r="E108" s="8" t="str"/>
      <x:c r="F108" s="8" t="str"/>
      <x:c r="G108" s="8" t="str">
        <x:v>https://github.com/ONN9IX/smart-garden/issues/176</x:v>
      </x:c>
    </x:row>
    <x:row r="109" ht="21" customHeight="1">
      <x:c r="A109" s="8" t="n">
        <x:v>177</x:v>
      </x:c>
      <x:c r="B109" s="8" t="str">
        <x:v>2026-10-07</x:v>
      </x:c>
      <x:c r="C109" s="8" t="str">
        <x:v>2026-10-12</x:v>
      </x:c>
      <x:c r="D109" s="8" t="str">
        <x:v>closed</x:v>
      </x:c>
      <x:c r="E109" s="8" t="str">
        <x:v>F1zname</x:v>
      </x:c>
      <x:c r="F109" s="8" t="str">
        <x:v>DIRECTOR-V2-E — control, notifications, journal and settings</x:v>
      </x:c>
      <x:c r="G109" s="8" t="str">
        <x:v>https://github.com/ONN9IX/smart-garden/issues/177</x:v>
      </x:c>
    </x:row>
    <x:row r="110" ht="21" customHeight="1">
      <x:c r="A110" s="8" t="n">
        <x:v>178</x:v>
      </x:c>
      <x:c r="B110" s="8" t="str">
        <x:v>2026-10-07</x:v>
      </x:c>
      <x:c r="C110" s="8" t="str"/>
      <x:c r="D110" s="8" t="str">
        <x:v>open</x:v>
      </x:c>
      <x:c r="E110" s="8" t="str"/>
      <x:c r="F110" s="8" t="str"/>
      <x:c r="G110" s="8" t="str">
        <x:v>https://github.com/ONN9IX/smart-garden/issues/178</x:v>
      </x:c>
    </x:row>
    <x:row r="111" ht="21" customHeight="1">
      <x:c r="A111" s="8" t="n">
        <x:v>179</x:v>
      </x:c>
      <x:c r="B111" s="8" t="str">
        <x:v>2026-10-07</x:v>
      </x:c>
      <x:c r="C111" s="8" t="str">
        <x:v>2026-10-07</x:v>
      </x:c>
      <x:c r="D111" s="8" t="str">
        <x:v>closed</x:v>
      </x:c>
      <x:c r="E111" s="8" t="str"/>
      <x:c r="F111" s="8" t="str"/>
      <x:c r="G111" s="8" t="str">
        <x:v>https://github.com/ONN9IX/smart-garden/issues/179</x:v>
      </x:c>
    </x:row>
    <x:row r="112" ht="21" customHeight="1">
      <x:c r="A112" s="8" t="n">
        <x:v>183</x:v>
      </x:c>
      <x:c r="B112" s="8" t="str">
        <x:v>2026-10-07</x:v>
      </x:c>
      <x:c r="C112" s="8" t="str">
        <x:v>2026-10-08</x:v>
      </x:c>
      <x:c r="D112" s="8" t="str">
        <x:v>closed</x:v>
      </x:c>
      <x:c r="E112" s="8" t="str"/>
      <x:c r="F112" s="8" t="str"/>
      <x:c r="G112" s="8" t="str">
        <x:v>https://github.com/ONN9IX/smart-garden/issues/183</x:v>
      </x:c>
    </x:row>
    <x:row r="113" ht="21" customHeight="1">
      <x:c r="A113" s="8" t="n">
        <x:v>185</x:v>
      </x:c>
      <x:c r="B113" s="8" t="str">
        <x:v>2026-10-08</x:v>
      </x:c>
      <x:c r="C113" s="8" t="str">
        <x:v>2026-10-08</x:v>
      </x:c>
      <x:c r="D113" s="8" t="str">
        <x:v>closed</x:v>
      </x:c>
      <x:c r="E113" s="8" t="str"/>
      <x:c r="F113" s="8" t="str"/>
      <x:c r="G113" s="8" t="str">
        <x:v>https://github.com/ONN9IX/smart-garden/issues/185</x:v>
      </x:c>
    </x:row>
    <x:row r="114" ht="21" customHeight="1">
      <x:c r="A114" s="8" t="n">
        <x:v>187</x:v>
      </x:c>
      <x:c r="B114" s="8" t="str">
        <x:v>2026-10-08</x:v>
      </x:c>
      <x:c r="C114" s="8" t="str"/>
      <x:c r="D114" s="8" t="str">
        <x:v>open</x:v>
      </x:c>
      <x:c r="E114" s="8" t="str"/>
      <x:c r="F114" s="8" t="str">
        <x:v>PILOT-PREP — kindergarten synthetic demo, buyer discovery and 152-FZ go/no-go</x:v>
      </x:c>
      <x:c r="G114" s="8" t="str">
        <x:v>https://github.com/ONN9IX/smart-garden/issues/187</x:v>
      </x:c>
    </x:row>
    <x:row r="115" ht="21" customHeight="1">
      <x:c r="A115" s="8" t="n">
        <x:v>189</x:v>
      </x:c>
      <x:c r="B115" s="8" t="str">
        <x:v>2026-10-08</x:v>
      </x:c>
      <x:c r="C115" s="8" t="str"/>
      <x:c r="D115" s="8" t="str">
        <x:v>open</x:v>
      </x:c>
      <x:c r="E115" s="8" t="str"/>
      <x:c r="F115" s="8" t="str">
        <x:v>MOBILE-PWA-DESIGN — installable ПРОМАКС app first, native distribution later</x:v>
      </x:c>
      <x:c r="G115" s="8" t="str">
        <x:v>https://github.com/ONN9IX/smart-garden/issues/189</x:v>
      </x:c>
    </x:row>
    <x:row r="116" ht="21" customHeight="1">
      <x:c r="A116" s="8" t="n">
        <x:v>190</x:v>
      </x:c>
      <x:c r="B116" s="8" t="str">
        <x:v>2026-10-08</x:v>
      </x:c>
      <x:c r="C116" s="8" t="str"/>
      <x:c r="D116" s="8" t="str">
        <x:v>open</x:v>
      </x:c>
      <x:c r="E116" s="8" t="str"/>
      <x:c r="F116" s="8" t="str"/>
      <x:c r="G116" s="8" t="str">
        <x:v>https://github.com/ONN9IX/smart-garden/issues/190</x:v>
      </x:c>
    </x:row>
    <x:row r="117" ht="21" customHeight="1">
      <x:c r="A117" s="8" t="n">
        <x:v>195</x:v>
      </x:c>
      <x:c r="B117" s="8" t="str">
        <x:v>2026-10-08</x:v>
      </x:c>
      <x:c r="C117" s="8" t="str">
        <x:v>2026-10-09</x:v>
      </x:c>
      <x:c r="D117" s="8" t="str">
        <x:v>closed</x:v>
      </x:c>
      <x:c r="E117" s="8" t="str"/>
      <x:c r="F117" s="8" t="str"/>
      <x:c r="G117" s="8" t="str">
        <x:v>https://github.com/ONN9IX/smart-garden/issues/195</x:v>
      </x:c>
    </x:row>
    <x:row r="118" ht="21" customHeight="1">
      <x:c r="A118" s="8" t="n">
        <x:v>197</x:v>
      </x:c>
      <x:c r="B118" s="8" t="str">
        <x:v>2026-10-08</x:v>
      </x:c>
      <x:c r="C118" s="8" t="str"/>
      <x:c r="D118" s="8" t="str">
        <x:v>open</x:v>
      </x:c>
      <x:c r="E118" s="8" t="str"/>
      <x:c r="F118" s="8" t="str">
        <x:v>PARENT-ATTENDANCE-ALERTS — automatic arrival/departure events and parent preferences</x:v>
      </x:c>
      <x:c r="G118" s="8" t="str">
        <x:v>https://github.com/ONN9IX/smart-garden/issues/197</x:v>
      </x:c>
    </x:row>
    <x:row r="119" ht="21" customHeight="1">
      <x:c r="A119" s="8" t="n">
        <x:v>198</x:v>
      </x:c>
      <x:c r="B119" s="8" t="str">
        <x:v>2026-10-08</x:v>
      </x:c>
      <x:c r="C119" s="8" t="str"/>
      <x:c r="D119" s="8" t="str">
        <x:v>open</x:v>
      </x:c>
      <x:c r="E119" s="8" t="str"/>
      <x:c r="F119" s="8" t="str">
        <x:v>TASK-DETAILS — editing, notes and change notifications</x:v>
      </x:c>
      <x:c r="G119" s="8" t="str">
        <x:v>https://github.com/ONN9IX/smart-garden/issues/198</x:v>
      </x:c>
    </x:row>
    <x:row r="120" ht="21" customHeight="1">
      <x:c r="A120" s="8" t="n">
        <x:v>199</x:v>
      </x:c>
      <x:c r="B120" s="8" t="str">
        <x:v>2026-10-08</x:v>
      </x:c>
      <x:c r="C120" s="8" t="str"/>
      <x:c r="D120" s="8" t="str">
        <x:v>open</x:v>
      </x:c>
      <x:c r="E120" s="8" t="str"/>
      <x:c r="F120" s="8" t="str">
        <x:v>DIRECT-MESSAGING-V3 — authorized Director and Teacher recipient chooser</x:v>
      </x:c>
      <x:c r="G120" s="8" t="str">
        <x:v>https://github.com/ONN9IX/smart-garden/issues/199</x:v>
      </x:c>
    </x:row>
    <x:row r="121" ht="21" customHeight="1">
      <x:c r="A121" s="8" t="n">
        <x:v>200</x:v>
      </x:c>
      <x:c r="B121" s="8" t="str">
        <x:v>2026-10-08</x:v>
      </x:c>
      <x:c r="C121" s="8" t="str"/>
      <x:c r="D121" s="8" t="str">
        <x:v>open</x:v>
      </x:c>
      <x:c r="E121" s="8" t="str"/>
      <x:c r="F121" s="8" t="str">
        <x:v>GARDEN-EVENTS — scoped calendar events, audiences and notifications</x:v>
      </x:c>
      <x:c r="G121" s="8" t="str">
        <x:v>https://github.com/ONN9IX/smart-garden/issues/200</x:v>
      </x:c>
    </x:row>
    <x:row r="122" ht="21" customHeight="1">
      <x:c r="A122" s="8" t="n">
        <x:v>201</x:v>
      </x:c>
      <x:c r="B122" s="8" t="str">
        <x:v>2026-10-08</x:v>
      </x:c>
      <x:c r="C122" s="8" t="str">
        <x:v>2026-10-12</x:v>
      </x:c>
      <x:c r="D122" s="8" t="str">
        <x:v>closed</x:v>
      </x:c>
      <x:c r="E122" s="8" t="str"/>
      <x:c r="F122" s="8" t="str"/>
      <x:c r="G122" s="8" t="str">
        <x:v>https://github.com/ONN9IX/smart-garden/issues/201</x:v>
      </x:c>
    </x:row>
    <x:row r="123" ht="21" customHeight="1">
      <x:c r="A123" s="8" t="n">
        <x:v>202</x:v>
      </x:c>
      <x:c r="B123" s="8" t="str">
        <x:v>2026-10-08</x:v>
      </x:c>
      <x:c r="C123" s="8" t="str">
        <x:v>2026-10-12</x:v>
      </x:c>
      <x:c r="D123" s="8" t="str">
        <x:v>closed</x:v>
      </x:c>
      <x:c r="E123" s="8" t="str"/>
      <x:c r="F123" s="8" t="str"/>
      <x:c r="G123" s="8" t="str">
        <x:v>https://github.com/ONN9IX/smart-garden/issues/202</x:v>
      </x:c>
    </x:row>
    <x:row r="124" ht="21" customHeight="1">
      <x:c r="A124" s="8" t="n">
        <x:v>203</x:v>
      </x:c>
      <x:c r="B124" s="8" t="str">
        <x:v>2026-10-08</x:v>
      </x:c>
      <x:c r="C124" s="8" t="str">
        <x:v>2026-10-08</x:v>
      </x:c>
      <x:c r="D124" s="8" t="str">
        <x:v>closed</x:v>
      </x:c>
      <x:c r="E124" s="8" t="str"/>
      <x:c r="F124" s="8" t="str"/>
      <x:c r="G124" s="8" t="str">
        <x:v>https://github.com/ONN9IX/smart-garden/issues/203</x:v>
      </x:c>
    </x:row>
    <x:row r="125" ht="21" customHeight="1">
      <x:c r="A125" s="8" t="n">
        <x:v>204</x:v>
      </x:c>
      <x:c r="B125" s="8" t="str">
        <x:v>2026-10-08</x:v>
      </x:c>
      <x:c r="C125" s="8" t="str"/>
      <x:c r="D125" s="8" t="str">
        <x:v>open</x:v>
      </x:c>
      <x:c r="E125" s="8" t="str">
        <x:v>ONN9IX</x:v>
      </x:c>
      <x:c r="F125" s="8" t="str">
        <x:v>INFRA: gated n8n + Codex + GitHub Actions + Telegram automation pilot</x:v>
      </x:c>
      <x:c r="G125" s="8" t="str">
        <x:v>https://github.com/ONN9IX/smart-garden/issues/204</x:v>
      </x:c>
    </x:row>
    <x:row r="126" ht="21" customHeight="1">
      <x:c r="A126" s="8" t="n">
        <x:v>207</x:v>
      </x:c>
      <x:c r="B126" s="8" t="str">
        <x:v>2026-10-09</x:v>
      </x:c>
      <x:c r="C126" s="8" t="str"/>
      <x:c r="D126" s="8" t="str">
        <x:v>open</x:v>
      </x:c>
      <x:c r="E126" s="8" t="str"/>
      <x:c r="F126" s="8" t="str">
        <x:v>INFRA-WINDOWS-CODEX — secure local dispatcher, approval gate and autonomous PR repair</x:v>
      </x:c>
      <x:c r="G126" s="8" t="str">
        <x:v>https://github.com/ONN9IX/smart-garden/issues/207</x:v>
      </x:c>
    </x:row>
    <x:row r="127" ht="21" customHeight="1">
      <x:c r="A127" s="8" t="n">
        <x:v>209</x:v>
      </x:c>
      <x:c r="B127" s="8" t="str">
        <x:v>2026-10-09</x:v>
      </x:c>
      <x:c r="C127" s="8" t="str"/>
      <x:c r="D127" s="8" t="str">
        <x:v>open</x:v>
      </x:c>
      <x:c r="E127" s="8" t="str"/>
      <x:c r="F127" s="8" t="str">
        <x:v>INFRA-WINDOWS-SECURITY — isolated controller/worker/publisher and witnessed activation gate</x:v>
      </x:c>
      <x:c r="G127" s="8" t="str">
        <x:v>https://github.com/ONN9IX/smart-garden/issues/209</x:v>
      </x:c>
    </x:row>
    <x:row r="128" ht="21" customHeight="1">
      <x:c r="A128" s="8" t="n">
        <x:v>211</x:v>
      </x:c>
      <x:c r="B128" s="8" t="str">
        <x:v>2026-10-10</x:v>
      </x:c>
      <x:c r="C128" s="8" t="str">
        <x:v>2026-10-10</x:v>
      </x:c>
      <x:c r="D128" s="8" t="str">
        <x:v>closed</x:v>
      </x:c>
      <x:c r="E128" s="8" t="str"/>
      <x:c r="F128" s="8" t="str"/>
      <x:c r="G128" s="8" t="str">
        <x:v>https://github.com/ONN9IX/smart-garden/issues/211</x:v>
      </x:c>
    </x:row>
    <x:row r="129" ht="21" customHeight="1">
      <x:c r="A129" s="8" t="n">
        <x:v>213</x:v>
      </x:c>
      <x:c r="B129" s="8" t="str">
        <x:v>2026-10-10</x:v>
      </x:c>
      <x:c r="C129" s="8" t="str"/>
      <x:c r="D129" s="8" t="str">
        <x:v>open</x:v>
      </x:c>
      <x:c r="E129" s="8" t="str"/>
      <x:c r="F129" s="8" t="str">
        <x:v>SAM-1 — Safe Automatic Merge architecture decision (inactive, NO-GO)</x:v>
      </x:c>
      <x:c r="G129" s="8" t="str">
        <x:v>https://github.com/ONN9IX/smart-garden/issues/213</x:v>
      </x:c>
    </x:row>
    <x:row r="130" ht="21" customHeight="1">
      <x:c r="A130" s="8" t="n">
        <x:v>214</x:v>
      </x:c>
      <x:c r="B130" s="8" t="str">
        <x:v>2026-10-10</x:v>
      </x:c>
      <x:c r="C130" s="8" t="str">
        <x:v>2026-10-10</x:v>
      </x:c>
      <x:c r="D130" s="8" t="str">
        <x:v>closed</x:v>
      </x:c>
      <x:c r="E130" s="8" t="str"/>
      <x:c r="F130" s="8" t="str"/>
      <x:c r="G130" s="8" t="str">
        <x:v>https://github.com/ONN9IX/smart-garden/issues/214</x:v>
      </x:c>
    </x:row>
    <x:row r="131" ht="21" customHeight="1">
      <x:c r="A131" s="8" t="n">
        <x:v>216</x:v>
      </x:c>
      <x:c r="B131" s="8" t="str">
        <x:v>2026-10-10</x:v>
      </x:c>
      <x:c r="C131" s="8" t="str">
        <x:v>2026-10-10</x:v>
      </x:c>
      <x:c r="D131" s="8" t="str">
        <x:v>closed</x:v>
      </x:c>
      <x:c r="E131" s="8" t="str"/>
      <x:c r="F131" s="8" t="str"/>
      <x:c r="G131" s="8" t="str">
        <x:v>https://github.com/ONN9IX/smart-garden/issues/216</x:v>
      </x:c>
    </x:row>
    <x:row r="132" ht="21" customHeight="1">
      <x:c r="A132" s="8" t="n">
        <x:v>218</x:v>
      </x:c>
      <x:c r="B132" s="8" t="str">
        <x:v>2026-10-11</x:v>
      </x:c>
      <x:c r="C132" s="8" t="str"/>
      <x:c r="D132" s="8" t="str">
        <x:v>open</x:v>
      </x:c>
      <x:c r="E132" s="8" t="str"/>
      <x:c r="F132" s="8" t="str">
        <x:v>INFRA-DISPATCH — Master Chat → Codex Cloud запуск Issue без платного API (feasibility)</x:v>
      </x:c>
      <x:c r="G132" s="8" t="str">
        <x:v>https://github.com/ONN9IX/smart-garden/issues/218</x:v>
      </x:c>
    </x:row>
    <x:row r="133" ht="21" customHeight="1">
      <x:c r="A133" s="8" t="n">
        <x:v>221</x:v>
      </x:c>
      <x:c r="B133" s="8" t="str">
        <x:v>2026-10-12</x:v>
      </x:c>
      <x:c r="C133" s="8" t="str">
        <x:v>2026-10-12</x:v>
      </x:c>
      <x:c r="D133" s="8" t="str">
        <x:v>closed</x:v>
      </x:c>
      <x:c r="E133" s="8" t="str">
        <x:v>ONN9IX</x:v>
      </x:c>
      <x:c r="F133" s="8" t="str">
        <x:v>PLATFORM-OWNER-MVP — secure operator cabinet, kindergarten onboarding and director bootstrap</x:v>
      </x:c>
      <x:c r="G133" s="8" t="str">
        <x:v>https://github.com/ONN9IX/smart-garden/issues/221</x:v>
      </x:c>
    </x:row>
    <x:row r="134" ht="21" customHeight="1">
      <x:c r="A134" s="8" t="n">
        <x:v>222</x:v>
      </x:c>
      <x:c r="B134" s="8" t="str">
        <x:v>2026-10-12</x:v>
      </x:c>
      <x:c r="C134" s="8" t="str"/>
      <x:c r="D134" s="8" t="str">
        <x:v>open</x:v>
      </x:c>
      <x:c r="E134" s="8" t="str"/>
      <x:c r="F134" s="8" t="str">
        <x:v>LEAN-ROADMAP — ПРОМАКС 2.0: кабинеты → универсальные профили → PWA → проверка спроса</x:v>
      </x:c>
      <x:c r="G134" s="8" t="str">
        <x:v>https://github.com/ONN9IX/smart-garden/issues/222</x:v>
      </x:c>
    </x:row>
    <x:row r="135" ht="21" customHeight="1">
      <x:c r="A135" s="8" t="n">
        <x:v>223</x:v>
      </x:c>
      <x:c r="B135" s="8" t="str">
        <x:v>2026-10-12</x:v>
      </x:c>
      <x:c r="C135" s="8" t="str"/>
      <x:c r="D135" s="8" t="str">
        <x:v>open</x:v>
      </x:c>
      <x:c r="E135" s="8" t="str"/>
      <x:c r="F135" s="8" t="str">
        <x:v>PRIVACY-152FZ — public policy, role-specific notices and purpose-bound consent registry</x:v>
      </x:c>
      <x:c r="G135" s="8" t="str">
        <x:v>https://github.com/ONN9IX/smart-garden/issues/223</x:v>
      </x:c>
    </x:row>
    <x:row r="136" ht="21" customHeight="1">
      <x:c r="A136" s="8" t="n">
        <x:v>224</x:v>
      </x:c>
      <x:c r="B136" s="8" t="str">
        <x:v>2026-10-12</x:v>
      </x:c>
      <x:c r="C136" s="8" t="str">
        <x:v>2026-10-12</x:v>
      </x:c>
      <x:c r="D136" s="8" t="str">
        <x:v>closed</x:v>
      </x:c>
      <x:c r="E136" s="8" t="str"/>
      <x:c r="F136" s="8" t="str"/>
      <x:c r="G136" s="8" t="str">
        <x:v>https://github.com/ONN9IX/smart-garden/issues/224</x:v>
      </x:c>
    </x:row>
    <x:row r="137" ht="21" customHeight="1">
      <x:c r="A137" s="8" t="n">
        <x:v>226</x:v>
      </x:c>
      <x:c r="B137" s="8" t="str">
        <x:v>2026-10-12</x:v>
      </x:c>
      <x:c r="C137" s="8" t="str">
        <x:v>2026-10-13</x:v>
      </x:c>
      <x:c r="D137" s="8" t="str">
        <x:v>closed</x:v>
      </x:c>
      <x:c r="E137" s="8" t="str"/>
      <x:c r="F137" s="8" t="str">
        <x:v>DIRECTOR-REDESIGN-V3 — единый оперативный кабинет, группы, дети и контроль</x:v>
      </x:c>
      <x:c r="G137" s="8" t="str">
        <x:v>https://github.com/ONN9IX/smart-garden/issues/226</x:v>
      </x:c>
    </x:row>
    <x:row r="138" ht="21" customHeight="1">
      <x:c r="A138" s="8" t="n">
        <x:v>228</x:v>
      </x:c>
      <x:c r="B138" s="8" t="str">
        <x:v>2026-10-12</x:v>
      </x:c>
      <x:c r="C138" s="8" t="str">
        <x:v>2026-10-12</x:v>
      </x:c>
      <x:c r="D138" s="8" t="str">
        <x:v>closed</x:v>
      </x:c>
      <x:c r="E138" s="8" t="str">
        <x:v>ONN9IX</x:v>
      </x:c>
      <x:c r="F138" s="8" t="str">
        <x:v>DOCS — актуализировать README по интегрированному ПРОМАКС и baseline после #225</x:v>
      </x:c>
      <x:c r="G138" s="8" t="str">
        <x:v>https://github.com/ONN9IX/smart-garden/issues/228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23" hidden="0" customWidth="1"/>
    <x:col min="5" max="5" width="58" hidden="0" customWidth="1"/>
  </x:cols>
  <x:sheetData>
    <x:row r="1" ht="34" customHeight="1">
      <x:c r="A1" s="4" t="str">
        <x:v>pr_number</x:v>
      </x:c>
      <x:c r="B1" s="4" t="str">
        <x:v>created_date</x:v>
      </x:c>
      <x:c r="C1" s="4" t="str">
        <x:v>merged_date</x:v>
      </x:c>
      <x:c r="D1" s="4" t="str">
        <x:v>outcome</x:v>
      </x:c>
      <x:c r="E1" s="4" t="str">
        <x:v>source_url</x:v>
      </x:c>
    </x:row>
    <x:row r="2" ht="21" customHeight="1">
      <x:c r="A2" s="8" t="n">
        <x:v>29</x:v>
      </x:c>
      <x:c r="B2" s="8" t="str">
        <x:v>2026-09-23</x:v>
      </x:c>
      <x:c r="C2" s="8" t="str"/>
      <x:c r="D2" s="8" t="str">
        <x:v>closed_not_merged</x:v>
      </x:c>
      <x:c r="E2" s="8" t="str">
        <x:v>https://github.com/ONN9IX/smart-garden/pull/29</x:v>
      </x:c>
    </x:row>
    <x:row r="3" ht="21" customHeight="1">
      <x:c r="A3" s="8" t="n">
        <x:v>30</x:v>
      </x:c>
      <x:c r="B3" s="8" t="str">
        <x:v>2026-09-23</x:v>
      </x:c>
      <x:c r="C3" s="8" t="str"/>
      <x:c r="D3" s="8" t="str">
        <x:v>closed_not_merged</x:v>
      </x:c>
      <x:c r="E3" s="8" t="str">
        <x:v>https://github.com/ONN9IX/smart-garden/pull/30</x:v>
      </x:c>
    </x:row>
    <x:row r="4" ht="21" customHeight="1">
      <x:c r="A4" s="8" t="n">
        <x:v>31</x:v>
      </x:c>
      <x:c r="B4" s="8" t="str">
        <x:v>2026-09-24</x:v>
      </x:c>
      <x:c r="C4" s="8" t="str">
        <x:v>2026-09-25</x:v>
      </x:c>
      <x:c r="D4" s="8" t="str">
        <x:v>merged</x:v>
      </x:c>
      <x:c r="E4" s="8" t="str">
        <x:v>https://github.com/ONN9IX/smart-garden/pull/31</x:v>
      </x:c>
    </x:row>
    <x:row r="5" ht="21" customHeight="1">
      <x:c r="A5" s="8" t="n">
        <x:v>35</x:v>
      </x:c>
      <x:c r="B5" s="8" t="str">
        <x:v>2026-09-25</x:v>
      </x:c>
      <x:c r="C5" s="8" t="str">
        <x:v>2026-09-25</x:v>
      </x:c>
      <x:c r="D5" s="8" t="str">
        <x:v>merged</x:v>
      </x:c>
      <x:c r="E5" s="8" t="str">
        <x:v>https://github.com/ONN9IX/smart-garden/pull/35</x:v>
      </x:c>
    </x:row>
    <x:row r="6" ht="21" customHeight="1">
      <x:c r="A6" s="8" t="n">
        <x:v>36</x:v>
      </x:c>
      <x:c r="B6" s="8" t="str">
        <x:v>2026-09-25</x:v>
      </x:c>
      <x:c r="C6" s="8" t="str">
        <x:v>2026-09-25</x:v>
      </x:c>
      <x:c r="D6" s="8" t="str">
        <x:v>merged</x:v>
      </x:c>
      <x:c r="E6" s="8" t="str">
        <x:v>https://github.com/ONN9IX/smart-garden/pull/36</x:v>
      </x:c>
    </x:row>
    <x:row r="7" ht="21" customHeight="1">
      <x:c r="A7" s="8" t="n">
        <x:v>53</x:v>
      </x:c>
      <x:c r="B7" s="8" t="str">
        <x:v>2026-09-25</x:v>
      </x:c>
      <x:c r="C7" s="8" t="str">
        <x:v>2026-09-25</x:v>
      </x:c>
      <x:c r="D7" s="8" t="str">
        <x:v>merged</x:v>
      </x:c>
      <x:c r="E7" s="8" t="str">
        <x:v>https://github.com/ONN9IX/smart-garden/pull/53</x:v>
      </x:c>
    </x:row>
    <x:row r="8" ht="21" customHeight="1">
      <x:c r="A8" s="8" t="n">
        <x:v>54</x:v>
      </x:c>
      <x:c r="B8" s="8" t="str">
        <x:v>2026-09-25</x:v>
      </x:c>
      <x:c r="C8" s="8" t="str">
        <x:v>2026-09-25</x:v>
      </x:c>
      <x:c r="D8" s="8" t="str">
        <x:v>merged</x:v>
      </x:c>
      <x:c r="E8" s="8" t="str">
        <x:v>https://github.com/ONN9IX/smart-garden/pull/54</x:v>
      </x:c>
    </x:row>
    <x:row r="9" ht="21" customHeight="1">
      <x:c r="A9" s="8" t="n">
        <x:v>55</x:v>
      </x:c>
      <x:c r="B9" s="8" t="str">
        <x:v>2026-09-25</x:v>
      </x:c>
      <x:c r="C9" s="8" t="str">
        <x:v>2026-09-25</x:v>
      </x:c>
      <x:c r="D9" s="8" t="str">
        <x:v>merged</x:v>
      </x:c>
      <x:c r="E9" s="8" t="str">
        <x:v>https://github.com/ONN9IX/smart-garden/pull/55</x:v>
      </x:c>
    </x:row>
    <x:row r="10" ht="21" customHeight="1">
      <x:c r="A10" s="8" t="n">
        <x:v>56</x:v>
      </x:c>
      <x:c r="B10" s="8" t="str">
        <x:v>2026-09-25</x:v>
      </x:c>
      <x:c r="C10" s="8" t="str">
        <x:v>2026-09-25</x:v>
      </x:c>
      <x:c r="D10" s="8" t="str">
        <x:v>merged</x:v>
      </x:c>
      <x:c r="E10" s="8" t="str">
        <x:v>https://github.com/ONN9IX/smart-garden/pull/56</x:v>
      </x:c>
    </x:row>
    <x:row r="11" ht="21" customHeight="1">
      <x:c r="A11" s="8" t="n">
        <x:v>57</x:v>
      </x:c>
      <x:c r="B11" s="8" t="str">
        <x:v>2026-09-25</x:v>
      </x:c>
      <x:c r="C11" s="8" t="str">
        <x:v>2026-09-25</x:v>
      </x:c>
      <x:c r="D11" s="8" t="str">
        <x:v>merged</x:v>
      </x:c>
      <x:c r="E11" s="8" t="str">
        <x:v>https://github.com/ONN9IX/smart-garden/pull/57</x:v>
      </x:c>
    </x:row>
    <x:row r="12" ht="21" customHeight="1">
      <x:c r="A12" s="8" t="n">
        <x:v>58</x:v>
      </x:c>
      <x:c r="B12" s="8" t="str">
        <x:v>2026-09-25</x:v>
      </x:c>
      <x:c r="C12" s="8" t="str">
        <x:v>2026-09-25</x:v>
      </x:c>
      <x:c r="D12" s="8" t="str">
        <x:v>merged</x:v>
      </x:c>
      <x:c r="E12" s="8" t="str">
        <x:v>https://github.com/ONN9IX/smart-garden/pull/58</x:v>
      </x:c>
    </x:row>
    <x:row r="13" ht="21" customHeight="1">
      <x:c r="A13" s="8" t="n">
        <x:v>59</x:v>
      </x:c>
      <x:c r="B13" s="8" t="str">
        <x:v>2026-09-25</x:v>
      </x:c>
      <x:c r="C13" s="8" t="str">
        <x:v>2026-09-25</x:v>
      </x:c>
      <x:c r="D13" s="8" t="str">
        <x:v>merged</x:v>
      </x:c>
      <x:c r="E13" s="8" t="str">
        <x:v>https://github.com/ONN9IX/smart-garden/pull/59</x:v>
      </x:c>
    </x:row>
    <x:row r="14" ht="21" customHeight="1">
      <x:c r="A14" s="8" t="n">
        <x:v>60</x:v>
      </x:c>
      <x:c r="B14" s="8" t="str">
        <x:v>2026-09-25</x:v>
      </x:c>
      <x:c r="C14" s="8" t="str">
        <x:v>2026-09-25</x:v>
      </x:c>
      <x:c r="D14" s="8" t="str">
        <x:v>merged</x:v>
      </x:c>
      <x:c r="E14" s="8" t="str">
        <x:v>https://github.com/ONN9IX/smart-garden/pull/60</x:v>
      </x:c>
    </x:row>
    <x:row r="15" ht="21" customHeight="1">
      <x:c r="A15" s="8" t="n">
        <x:v>61</x:v>
      </x:c>
      <x:c r="B15" s="8" t="str">
        <x:v>2026-09-25</x:v>
      </x:c>
      <x:c r="C15" s="8" t="str">
        <x:v>2026-09-25</x:v>
      </x:c>
      <x:c r="D15" s="8" t="str">
        <x:v>merged</x:v>
      </x:c>
      <x:c r="E15" s="8" t="str">
        <x:v>https://github.com/ONN9IX/smart-garden/pull/61</x:v>
      </x:c>
    </x:row>
    <x:row r="16" ht="21" customHeight="1">
      <x:c r="A16" s="8" t="n">
        <x:v>62</x:v>
      </x:c>
      <x:c r="B16" s="8" t="str">
        <x:v>2026-09-25</x:v>
      </x:c>
      <x:c r="C16" s="8" t="str">
        <x:v>2026-09-25</x:v>
      </x:c>
      <x:c r="D16" s="8" t="str">
        <x:v>merged</x:v>
      </x:c>
      <x:c r="E16" s="8" t="str">
        <x:v>https://github.com/ONN9IX/smart-garden/pull/62</x:v>
      </x:c>
    </x:row>
    <x:row r="17" ht="21" customHeight="1">
      <x:c r="A17" s="8" t="n">
        <x:v>63</x:v>
      </x:c>
      <x:c r="B17" s="8" t="str">
        <x:v>2026-09-25</x:v>
      </x:c>
      <x:c r="C17" s="8" t="str">
        <x:v>2026-09-25</x:v>
      </x:c>
      <x:c r="D17" s="8" t="str">
        <x:v>merged</x:v>
      </x:c>
      <x:c r="E17" s="8" t="str">
        <x:v>https://github.com/ONN9IX/smart-garden/pull/63</x:v>
      </x:c>
    </x:row>
    <x:row r="18" ht="21" customHeight="1">
      <x:c r="A18" s="8" t="n">
        <x:v>64</x:v>
      </x:c>
      <x:c r="B18" s="8" t="str">
        <x:v>2026-09-25</x:v>
      </x:c>
      <x:c r="C18" s="8" t="str">
        <x:v>2026-09-25</x:v>
      </x:c>
      <x:c r="D18" s="8" t="str">
        <x:v>merged</x:v>
      </x:c>
      <x:c r="E18" s="8" t="str">
        <x:v>https://github.com/ONN9IX/smart-garden/pull/64</x:v>
      </x:c>
    </x:row>
    <x:row r="19" ht="21" customHeight="1">
      <x:c r="A19" s="8" t="n">
        <x:v>65</x:v>
      </x:c>
      <x:c r="B19" s="8" t="str">
        <x:v>2026-09-25</x:v>
      </x:c>
      <x:c r="C19" s="8" t="str">
        <x:v>2026-09-25</x:v>
      </x:c>
      <x:c r="D19" s="8" t="str">
        <x:v>merged</x:v>
      </x:c>
      <x:c r="E19" s="8" t="str">
        <x:v>https://github.com/ONN9IX/smart-garden/pull/65</x:v>
      </x:c>
    </x:row>
    <x:row r="20" ht="21" customHeight="1">
      <x:c r="A20" s="8" t="n">
        <x:v>66</x:v>
      </x:c>
      <x:c r="B20" s="8" t="str">
        <x:v>2026-09-26</x:v>
      </x:c>
      <x:c r="C20" s="8" t="str">
        <x:v>2026-09-26</x:v>
      </x:c>
      <x:c r="D20" s="8" t="str">
        <x:v>merged</x:v>
      </x:c>
      <x:c r="E20" s="8" t="str">
        <x:v>https://github.com/ONN9IX/smart-garden/pull/66</x:v>
      </x:c>
    </x:row>
    <x:row r="21" ht="21" customHeight="1">
      <x:c r="A21" s="8" t="n">
        <x:v>67</x:v>
      </x:c>
      <x:c r="B21" s="8" t="str">
        <x:v>2026-09-26</x:v>
      </x:c>
      <x:c r="C21" s="8" t="str">
        <x:v>2026-09-26</x:v>
      </x:c>
      <x:c r="D21" s="8" t="str">
        <x:v>merged</x:v>
      </x:c>
      <x:c r="E21" s="8" t="str">
        <x:v>https://github.com/ONN9IX/smart-garden/pull/67</x:v>
      </x:c>
    </x:row>
    <x:row r="22" ht="21" customHeight="1">
      <x:c r="A22" s="8" t="n">
        <x:v>69</x:v>
      </x:c>
      <x:c r="B22" s="8" t="str">
        <x:v>2026-09-26</x:v>
      </x:c>
      <x:c r="C22" s="8" t="str">
        <x:v>2026-09-26</x:v>
      </x:c>
      <x:c r="D22" s="8" t="str">
        <x:v>merged</x:v>
      </x:c>
      <x:c r="E22" s="8" t="str">
        <x:v>https://github.com/ONN9IX/smart-garden/pull/69</x:v>
      </x:c>
    </x:row>
    <x:row r="23" ht="21" customHeight="1">
      <x:c r="A23" s="8" t="n">
        <x:v>71</x:v>
      </x:c>
      <x:c r="B23" s="8" t="str">
        <x:v>2026-09-26</x:v>
      </x:c>
      <x:c r="C23" s="8" t="str">
        <x:v>2026-09-26</x:v>
      </x:c>
      <x:c r="D23" s="8" t="str">
        <x:v>merged</x:v>
      </x:c>
      <x:c r="E23" s="8" t="str">
        <x:v>https://github.com/ONN9IX/smart-garden/pull/71</x:v>
      </x:c>
    </x:row>
    <x:row r="24" ht="21" customHeight="1">
      <x:c r="A24" s="8" t="n">
        <x:v>73</x:v>
      </x:c>
      <x:c r="B24" s="8" t="str">
        <x:v>2026-09-26</x:v>
      </x:c>
      <x:c r="C24" s="8" t="str">
        <x:v>2026-09-26</x:v>
      </x:c>
      <x:c r="D24" s="8" t="str">
        <x:v>merged</x:v>
      </x:c>
      <x:c r="E24" s="8" t="str">
        <x:v>https://github.com/ONN9IX/smart-garden/pull/73</x:v>
      </x:c>
    </x:row>
    <x:row r="25" ht="21" customHeight="1">
      <x:c r="A25" s="8" t="n">
        <x:v>75</x:v>
      </x:c>
      <x:c r="B25" s="8" t="str">
        <x:v>2026-09-26</x:v>
      </x:c>
      <x:c r="C25" s="8" t="str">
        <x:v>2026-09-26</x:v>
      </x:c>
      <x:c r="D25" s="8" t="str">
        <x:v>merged</x:v>
      </x:c>
      <x:c r="E25" s="8" t="str">
        <x:v>https://github.com/ONN9IX/smart-garden/pull/75</x:v>
      </x:c>
    </x:row>
    <x:row r="26" ht="21" customHeight="1">
      <x:c r="A26" s="8" t="n">
        <x:v>77</x:v>
      </x:c>
      <x:c r="B26" s="8" t="str">
        <x:v>2026-09-26</x:v>
      </x:c>
      <x:c r="C26" s="8" t="str">
        <x:v>2026-09-26</x:v>
      </x:c>
      <x:c r="D26" s="8" t="str">
        <x:v>merged</x:v>
      </x:c>
      <x:c r="E26" s="8" t="str">
        <x:v>https://github.com/ONN9IX/smart-garden/pull/77</x:v>
      </x:c>
    </x:row>
    <x:row r="27" ht="21" customHeight="1">
      <x:c r="A27" s="8" t="n">
        <x:v>79</x:v>
      </x:c>
      <x:c r="B27" s="8" t="str">
        <x:v>2026-09-26</x:v>
      </x:c>
      <x:c r="C27" s="8" t="str">
        <x:v>2026-09-26</x:v>
      </x:c>
      <x:c r="D27" s="8" t="str">
        <x:v>merged</x:v>
      </x:c>
      <x:c r="E27" s="8" t="str">
        <x:v>https://github.com/ONN9IX/smart-garden/pull/79</x:v>
      </x:c>
    </x:row>
    <x:row r="28" ht="21" customHeight="1">
      <x:c r="A28" s="8" t="n">
        <x:v>81</x:v>
      </x:c>
      <x:c r="B28" s="8" t="str">
        <x:v>2026-09-26</x:v>
      </x:c>
      <x:c r="C28" s="8" t="str">
        <x:v>2026-09-26</x:v>
      </x:c>
      <x:c r="D28" s="8" t="str">
        <x:v>merged</x:v>
      </x:c>
      <x:c r="E28" s="8" t="str">
        <x:v>https://github.com/ONN9IX/smart-garden/pull/81</x:v>
      </x:c>
    </x:row>
    <x:row r="29" ht="21" customHeight="1">
      <x:c r="A29" s="8" t="n">
        <x:v>83</x:v>
      </x:c>
      <x:c r="B29" s="8" t="str">
        <x:v>2026-09-26</x:v>
      </x:c>
      <x:c r="C29" s="8" t="str">
        <x:v>2026-09-26</x:v>
      </x:c>
      <x:c r="D29" s="8" t="str">
        <x:v>merged</x:v>
      </x:c>
      <x:c r="E29" s="8" t="str">
        <x:v>https://github.com/ONN9IX/smart-garden/pull/83</x:v>
      </x:c>
    </x:row>
    <x:row r="30" ht="21" customHeight="1">
      <x:c r="A30" s="8" t="n">
        <x:v>85</x:v>
      </x:c>
      <x:c r="B30" s="8" t="str">
        <x:v>2026-09-26</x:v>
      </x:c>
      <x:c r="C30" s="8" t="str">
        <x:v>2026-09-26</x:v>
      </x:c>
      <x:c r="D30" s="8" t="str">
        <x:v>merged</x:v>
      </x:c>
      <x:c r="E30" s="8" t="str">
        <x:v>https://github.com/ONN9IX/smart-garden/pull/85</x:v>
      </x:c>
    </x:row>
    <x:row r="31" ht="21" customHeight="1">
      <x:c r="A31" s="8" t="n">
        <x:v>89</x:v>
      </x:c>
      <x:c r="B31" s="8" t="str">
        <x:v>2026-09-26</x:v>
      </x:c>
      <x:c r="C31" s="8" t="str">
        <x:v>2026-09-26</x:v>
      </x:c>
      <x:c r="D31" s="8" t="str">
        <x:v>merged</x:v>
      </x:c>
      <x:c r="E31" s="8" t="str">
        <x:v>https://github.com/ONN9IX/smart-garden/pull/89</x:v>
      </x:c>
    </x:row>
    <x:row r="32" ht="21" customHeight="1">
      <x:c r="A32" s="8" t="n">
        <x:v>90</x:v>
      </x:c>
      <x:c r="B32" s="8" t="str">
        <x:v>2026-09-26</x:v>
      </x:c>
      <x:c r="C32" s="8" t="str">
        <x:v>2026-09-26</x:v>
      </x:c>
      <x:c r="D32" s="8" t="str">
        <x:v>merged</x:v>
      </x:c>
      <x:c r="E32" s="8" t="str">
        <x:v>https://github.com/ONN9IX/smart-garden/pull/90</x:v>
      </x:c>
    </x:row>
    <x:row r="33" ht="21" customHeight="1">
      <x:c r="A33" s="8" t="n">
        <x:v>91</x:v>
      </x:c>
      <x:c r="B33" s="8" t="str">
        <x:v>2026-09-27</x:v>
      </x:c>
      <x:c r="C33" s="8" t="str">
        <x:v>2026-09-27</x:v>
      </x:c>
      <x:c r="D33" s="8" t="str">
        <x:v>merged</x:v>
      </x:c>
      <x:c r="E33" s="8" t="str">
        <x:v>https://github.com/ONN9IX/smart-garden/pull/91</x:v>
      </x:c>
    </x:row>
    <x:row r="34" ht="21" customHeight="1">
      <x:c r="A34" s="8" t="n">
        <x:v>92</x:v>
      </x:c>
      <x:c r="B34" s="8" t="str">
        <x:v>2026-09-27</x:v>
      </x:c>
      <x:c r="C34" s="8" t="str">
        <x:v>2026-09-27</x:v>
      </x:c>
      <x:c r="D34" s="8" t="str">
        <x:v>merged</x:v>
      </x:c>
      <x:c r="E34" s="8" t="str">
        <x:v>https://github.com/ONN9IX/smart-garden/pull/92</x:v>
      </x:c>
    </x:row>
    <x:row r="35" ht="21" customHeight="1">
      <x:c r="A35" s="8" t="n">
        <x:v>93</x:v>
      </x:c>
      <x:c r="B35" s="8" t="str">
        <x:v>2026-09-27</x:v>
      </x:c>
      <x:c r="C35" s="8" t="str">
        <x:v>2026-09-27</x:v>
      </x:c>
      <x:c r="D35" s="8" t="str">
        <x:v>merged</x:v>
      </x:c>
      <x:c r="E35" s="8" t="str">
        <x:v>https://github.com/ONN9IX/smart-garden/pull/93</x:v>
      </x:c>
    </x:row>
    <x:row r="36" ht="21" customHeight="1">
      <x:c r="A36" s="8" t="n">
        <x:v>96</x:v>
      </x:c>
      <x:c r="B36" s="8" t="str">
        <x:v>2026-09-27</x:v>
      </x:c>
      <x:c r="C36" s="8" t="str">
        <x:v>2026-09-28</x:v>
      </x:c>
      <x:c r="D36" s="8" t="str">
        <x:v>merged</x:v>
      </x:c>
      <x:c r="E36" s="8" t="str">
        <x:v>https://github.com/ONN9IX/smart-garden/pull/96</x:v>
      </x:c>
    </x:row>
    <x:row r="37" ht="21" customHeight="1">
      <x:c r="A37" s="8" t="n">
        <x:v>97</x:v>
      </x:c>
      <x:c r="B37" s="8" t="str">
        <x:v>2026-09-28</x:v>
      </x:c>
      <x:c r="C37" s="8" t="str">
        <x:v>2026-09-28</x:v>
      </x:c>
      <x:c r="D37" s="8" t="str">
        <x:v>merged</x:v>
      </x:c>
      <x:c r="E37" s="8" t="str">
        <x:v>https://github.com/ONN9IX/smart-garden/pull/97</x:v>
      </x:c>
    </x:row>
    <x:row r="38" ht="21" customHeight="1">
      <x:c r="A38" s="8" t="n">
        <x:v>100</x:v>
      </x:c>
      <x:c r="B38" s="8" t="str">
        <x:v>2026-09-28</x:v>
      </x:c>
      <x:c r="C38" s="8" t="str">
        <x:v>2026-09-28</x:v>
      </x:c>
      <x:c r="D38" s="8" t="str">
        <x:v>merged</x:v>
      </x:c>
      <x:c r="E38" s="8" t="str">
        <x:v>https://github.com/ONN9IX/smart-garden/pull/100</x:v>
      </x:c>
    </x:row>
    <x:row r="39" ht="21" customHeight="1">
      <x:c r="A39" s="8" t="n">
        <x:v>101</x:v>
      </x:c>
      <x:c r="B39" s="8" t="str">
        <x:v>2026-09-28</x:v>
      </x:c>
      <x:c r="C39" s="8" t="str">
        <x:v>2026-09-28</x:v>
      </x:c>
      <x:c r="D39" s="8" t="str">
        <x:v>merged</x:v>
      </x:c>
      <x:c r="E39" s="8" t="str">
        <x:v>https://github.com/ONN9IX/smart-garden/pull/101</x:v>
      </x:c>
    </x:row>
    <x:row r="40" ht="21" customHeight="1">
      <x:c r="A40" s="8" t="n">
        <x:v>104</x:v>
      </x:c>
      <x:c r="B40" s="8" t="str">
        <x:v>2026-09-28</x:v>
      </x:c>
      <x:c r="C40" s="8" t="str">
        <x:v>2026-09-29</x:v>
      </x:c>
      <x:c r="D40" s="8" t="str">
        <x:v>merged</x:v>
      </x:c>
      <x:c r="E40" s="8" t="str">
        <x:v>https://github.com/ONN9IX/smart-garden/pull/104</x:v>
      </x:c>
    </x:row>
    <x:row r="41" ht="21" customHeight="1">
      <x:c r="A41" s="8" t="n">
        <x:v>105</x:v>
      </x:c>
      <x:c r="B41" s="8" t="str">
        <x:v>2026-09-29</x:v>
      </x:c>
      <x:c r="C41" s="8" t="str">
        <x:v>2026-09-29</x:v>
      </x:c>
      <x:c r="D41" s="8" t="str">
        <x:v>merged</x:v>
      </x:c>
      <x:c r="E41" s="8" t="str">
        <x:v>https://github.com/ONN9IX/smart-garden/pull/105</x:v>
      </x:c>
    </x:row>
    <x:row r="42" ht="21" customHeight="1">
      <x:c r="A42" s="8" t="n">
        <x:v>109</x:v>
      </x:c>
      <x:c r="B42" s="8" t="str">
        <x:v>2026-09-29</x:v>
      </x:c>
      <x:c r="C42" s="8" t="str">
        <x:v>2026-09-29</x:v>
      </x:c>
      <x:c r="D42" s="8" t="str">
        <x:v>merged</x:v>
      </x:c>
      <x:c r="E42" s="8" t="str">
        <x:v>https://github.com/ONN9IX/smart-garden/pull/109</x:v>
      </x:c>
    </x:row>
    <x:row r="43" ht="21" customHeight="1">
      <x:c r="A43" s="8" t="n">
        <x:v>110</x:v>
      </x:c>
      <x:c r="B43" s="8" t="str">
        <x:v>2026-09-29</x:v>
      </x:c>
      <x:c r="C43" s="8" t="str">
        <x:v>2026-09-29</x:v>
      </x:c>
      <x:c r="D43" s="8" t="str">
        <x:v>merged</x:v>
      </x:c>
      <x:c r="E43" s="8" t="str">
        <x:v>https://github.com/ONN9IX/smart-garden/pull/110</x:v>
      </x:c>
    </x:row>
    <x:row r="44" ht="21" customHeight="1">
      <x:c r="A44" s="8" t="n">
        <x:v>111</x:v>
      </x:c>
      <x:c r="B44" s="8" t="str">
        <x:v>2026-09-29</x:v>
      </x:c>
      <x:c r="C44" s="8" t="str">
        <x:v>2026-09-29</x:v>
      </x:c>
      <x:c r="D44" s="8" t="str">
        <x:v>merged</x:v>
      </x:c>
      <x:c r="E44" s="8" t="str">
        <x:v>https://github.com/ONN9IX/smart-garden/pull/111</x:v>
      </x:c>
    </x:row>
    <x:row r="45" ht="21" customHeight="1">
      <x:c r="A45" s="8" t="n">
        <x:v>113</x:v>
      </x:c>
      <x:c r="B45" s="8" t="str">
        <x:v>2026-09-29</x:v>
      </x:c>
      <x:c r="C45" s="8" t="str">
        <x:v>2026-09-29</x:v>
      </x:c>
      <x:c r="D45" s="8" t="str">
        <x:v>merged</x:v>
      </x:c>
      <x:c r="E45" s="8" t="str">
        <x:v>https://github.com/ONN9IX/smart-garden/pull/113</x:v>
      </x:c>
    </x:row>
    <x:row r="46" ht="21" customHeight="1">
      <x:c r="A46" s="8" t="n">
        <x:v>116</x:v>
      </x:c>
      <x:c r="B46" s="8" t="str">
        <x:v>2026-09-29</x:v>
      </x:c>
      <x:c r="C46" s="8" t="str">
        <x:v>2026-09-29</x:v>
      </x:c>
      <x:c r="D46" s="8" t="str">
        <x:v>merged</x:v>
      </x:c>
      <x:c r="E46" s="8" t="str">
        <x:v>https://github.com/ONN9IX/smart-garden/pull/116</x:v>
      </x:c>
    </x:row>
    <x:row r="47" ht="21" customHeight="1">
      <x:c r="A47" s="8" t="n">
        <x:v>118</x:v>
      </x:c>
      <x:c r="B47" s="8" t="str">
        <x:v>2026-09-29</x:v>
      </x:c>
      <x:c r="C47" s="8" t="str">
        <x:v>2026-09-29</x:v>
      </x:c>
      <x:c r="D47" s="8" t="str">
        <x:v>merged</x:v>
      </x:c>
      <x:c r="E47" s="8" t="str">
        <x:v>https://github.com/ONN9IX/smart-garden/pull/118</x:v>
      </x:c>
    </x:row>
    <x:row r="48" ht="21" customHeight="1">
      <x:c r="A48" s="8" t="n">
        <x:v>120</x:v>
      </x:c>
      <x:c r="B48" s="8" t="str">
        <x:v>2026-09-29</x:v>
      </x:c>
      <x:c r="C48" s="8" t="str">
        <x:v>2026-09-29</x:v>
      </x:c>
      <x:c r="D48" s="8" t="str">
        <x:v>merged</x:v>
      </x:c>
      <x:c r="E48" s="8" t="str">
        <x:v>https://github.com/ONN9IX/smart-garden/pull/120</x:v>
      </x:c>
    </x:row>
    <x:row r="49" ht="21" customHeight="1">
      <x:c r="A49" s="8" t="n">
        <x:v>122</x:v>
      </x:c>
      <x:c r="B49" s="8" t="str">
        <x:v>2026-09-30</x:v>
      </x:c>
      <x:c r="C49" s="8" t="str">
        <x:v>2026-09-30</x:v>
      </x:c>
      <x:c r="D49" s="8" t="str">
        <x:v>merged</x:v>
      </x:c>
      <x:c r="E49" s="8" t="str">
        <x:v>https://github.com/ONN9IX/smart-garden/pull/122</x:v>
      </x:c>
    </x:row>
    <x:row r="50" ht="21" customHeight="1">
      <x:c r="A50" s="8" t="n">
        <x:v>125</x:v>
      </x:c>
      <x:c r="B50" s="8" t="str">
        <x:v>2026-09-30</x:v>
      </x:c>
      <x:c r="C50" s="8" t="str">
        <x:v>2026-09-30</x:v>
      </x:c>
      <x:c r="D50" s="8" t="str">
        <x:v>merged</x:v>
      </x:c>
      <x:c r="E50" s="8" t="str">
        <x:v>https://github.com/ONN9IX/smart-garden/pull/125</x:v>
      </x:c>
    </x:row>
    <x:row r="51" ht="21" customHeight="1">
      <x:c r="A51" s="8" t="n">
        <x:v>127</x:v>
      </x:c>
      <x:c r="B51" s="8" t="str">
        <x:v>2026-09-30</x:v>
      </x:c>
      <x:c r="C51" s="8" t="str">
        <x:v>2026-09-30</x:v>
      </x:c>
      <x:c r="D51" s="8" t="str">
        <x:v>merged</x:v>
      </x:c>
      <x:c r="E51" s="8" t="str">
        <x:v>https://github.com/ONN9IX/smart-garden/pull/127</x:v>
      </x:c>
    </x:row>
    <x:row r="52" ht="21" customHeight="1">
      <x:c r="A52" s="8" t="n">
        <x:v>128</x:v>
      </x:c>
      <x:c r="B52" s="8" t="str">
        <x:v>2026-09-30</x:v>
      </x:c>
      <x:c r="C52" s="8" t="str">
        <x:v>2026-09-30</x:v>
      </x:c>
      <x:c r="D52" s="8" t="str">
        <x:v>merged</x:v>
      </x:c>
      <x:c r="E52" s="8" t="str">
        <x:v>https://github.com/ONN9IX/smart-garden/pull/128</x:v>
      </x:c>
    </x:row>
    <x:row r="53" ht="21" customHeight="1">
      <x:c r="A53" s="8" t="n">
        <x:v>130</x:v>
      </x:c>
      <x:c r="B53" s="8" t="str">
        <x:v>2026-09-30</x:v>
      </x:c>
      <x:c r="C53" s="8" t="str">
        <x:v>2026-09-30</x:v>
      </x:c>
      <x:c r="D53" s="8" t="str">
        <x:v>merged</x:v>
      </x:c>
      <x:c r="E53" s="8" t="str">
        <x:v>https://github.com/ONN9IX/smart-garden/pull/130</x:v>
      </x:c>
    </x:row>
    <x:row r="54" ht="21" customHeight="1">
      <x:c r="A54" s="8" t="n">
        <x:v>134</x:v>
      </x:c>
      <x:c r="B54" s="8" t="str">
        <x:v>2026-09-30</x:v>
      </x:c>
      <x:c r="C54" s="8" t="str">
        <x:v>2026-09-30</x:v>
      </x:c>
      <x:c r="D54" s="8" t="str">
        <x:v>merged</x:v>
      </x:c>
      <x:c r="E54" s="8" t="str">
        <x:v>https://github.com/ONN9IX/smart-garden/pull/134</x:v>
      </x:c>
    </x:row>
    <x:row r="55" ht="21" customHeight="1">
      <x:c r="A55" s="8" t="n">
        <x:v>136</x:v>
      </x:c>
      <x:c r="B55" s="8" t="str">
        <x:v>2026-09-30</x:v>
      </x:c>
      <x:c r="C55" s="8" t="str">
        <x:v>2026-09-30</x:v>
      </x:c>
      <x:c r="D55" s="8" t="str">
        <x:v>merged</x:v>
      </x:c>
      <x:c r="E55" s="8" t="str">
        <x:v>https://github.com/ONN9IX/smart-garden/pull/136</x:v>
      </x:c>
    </x:row>
    <x:row r="56" ht="21" customHeight="1">
      <x:c r="A56" s="8" t="n">
        <x:v>138</x:v>
      </x:c>
      <x:c r="B56" s="8" t="str">
        <x:v>2026-09-30</x:v>
      </x:c>
      <x:c r="C56" s="8" t="str">
        <x:v>2026-09-30</x:v>
      </x:c>
      <x:c r="D56" s="8" t="str">
        <x:v>merged</x:v>
      </x:c>
      <x:c r="E56" s="8" t="str">
        <x:v>https://github.com/ONN9IX/smart-garden/pull/138</x:v>
      </x:c>
    </x:row>
    <x:row r="57" ht="21" customHeight="1">
      <x:c r="A57" s="8" t="n">
        <x:v>140</x:v>
      </x:c>
      <x:c r="B57" s="8" t="str">
        <x:v>2026-09-30</x:v>
      </x:c>
      <x:c r="C57" s="8" t="str">
        <x:v>2026-09-30</x:v>
      </x:c>
      <x:c r="D57" s="8" t="str">
        <x:v>merged</x:v>
      </x:c>
      <x:c r="E57" s="8" t="str">
        <x:v>https://github.com/ONN9IX/smart-garden/pull/140</x:v>
      </x:c>
    </x:row>
    <x:row r="58" ht="21" customHeight="1">
      <x:c r="A58" s="8" t="n">
        <x:v>141</x:v>
      </x:c>
      <x:c r="B58" s="8" t="str">
        <x:v>2026-10-01</x:v>
      </x:c>
      <x:c r="C58" s="8" t="str">
        <x:v>2026-10-01</x:v>
      </x:c>
      <x:c r="D58" s="8" t="str">
        <x:v>merged</x:v>
      </x:c>
      <x:c r="E58" s="8" t="str">
        <x:v>https://github.com/ONN9IX/smart-garden/pull/141</x:v>
      </x:c>
    </x:row>
    <x:row r="59" ht="21" customHeight="1">
      <x:c r="A59" s="8" t="n">
        <x:v>143</x:v>
      </x:c>
      <x:c r="B59" s="8" t="str">
        <x:v>2026-10-01</x:v>
      </x:c>
      <x:c r="C59" s="8" t="str">
        <x:v>2026-10-01</x:v>
      </x:c>
      <x:c r="D59" s="8" t="str">
        <x:v>merged</x:v>
      </x:c>
      <x:c r="E59" s="8" t="str">
        <x:v>https://github.com/ONN9IX/smart-garden/pull/143</x:v>
      </x:c>
    </x:row>
    <x:row r="60" ht="21" customHeight="1">
      <x:c r="A60" s="8" t="n">
        <x:v>145</x:v>
      </x:c>
      <x:c r="B60" s="8" t="str">
        <x:v>2026-10-01</x:v>
      </x:c>
      <x:c r="C60" s="8" t="str">
        <x:v>2026-10-01</x:v>
      </x:c>
      <x:c r="D60" s="8" t="str">
        <x:v>merged</x:v>
      </x:c>
      <x:c r="E60" s="8" t="str">
        <x:v>https://github.com/ONN9IX/smart-garden/pull/145</x:v>
      </x:c>
    </x:row>
    <x:row r="61" ht="21" customHeight="1">
      <x:c r="A61" s="8" t="n">
        <x:v>147</x:v>
      </x:c>
      <x:c r="B61" s="8" t="str">
        <x:v>2026-10-01</x:v>
      </x:c>
      <x:c r="C61" s="8" t="str">
        <x:v>2026-10-01</x:v>
      </x:c>
      <x:c r="D61" s="8" t="str">
        <x:v>merged</x:v>
      </x:c>
      <x:c r="E61" s="8" t="str">
        <x:v>https://github.com/ONN9IX/smart-garden/pull/147</x:v>
      </x:c>
    </x:row>
    <x:row r="62" ht="21" customHeight="1">
      <x:c r="A62" s="8" t="n">
        <x:v>149</x:v>
      </x:c>
      <x:c r="B62" s="8" t="str">
        <x:v>2026-10-01</x:v>
      </x:c>
      <x:c r="C62" s="8" t="str">
        <x:v>2026-10-01</x:v>
      </x:c>
      <x:c r="D62" s="8" t="str">
        <x:v>merged</x:v>
      </x:c>
      <x:c r="E62" s="8" t="str">
        <x:v>https://github.com/ONN9IX/smart-garden/pull/149</x:v>
      </x:c>
    </x:row>
    <x:row r="63" ht="21" customHeight="1">
      <x:c r="A63" s="8" t="n">
        <x:v>151</x:v>
      </x:c>
      <x:c r="B63" s="8" t="str">
        <x:v>2026-10-01</x:v>
      </x:c>
      <x:c r="C63" s="8" t="str">
        <x:v>2026-10-01</x:v>
      </x:c>
      <x:c r="D63" s="8" t="str">
        <x:v>merged</x:v>
      </x:c>
      <x:c r="E63" s="8" t="str">
        <x:v>https://github.com/ONN9IX/smart-garden/pull/151</x:v>
      </x:c>
    </x:row>
    <x:row r="64" ht="21" customHeight="1">
      <x:c r="A64" s="8" t="n">
        <x:v>153</x:v>
      </x:c>
      <x:c r="B64" s="8" t="str">
        <x:v>2026-10-01</x:v>
      </x:c>
      <x:c r="C64" s="8" t="str">
        <x:v>2026-10-01</x:v>
      </x:c>
      <x:c r="D64" s="8" t="str">
        <x:v>merged</x:v>
      </x:c>
      <x:c r="E64" s="8" t="str">
        <x:v>https://github.com/ONN9IX/smart-garden/pull/153</x:v>
      </x:c>
    </x:row>
    <x:row r="65" ht="21" customHeight="1">
      <x:c r="A65" s="8" t="n">
        <x:v>155</x:v>
      </x:c>
      <x:c r="B65" s="8" t="str">
        <x:v>2026-10-01</x:v>
      </x:c>
      <x:c r="C65" s="8" t="str">
        <x:v>2026-10-01</x:v>
      </x:c>
      <x:c r="D65" s="8" t="str">
        <x:v>merged</x:v>
      </x:c>
      <x:c r="E65" s="8" t="str">
        <x:v>https://github.com/ONN9IX/smart-garden/pull/155</x:v>
      </x:c>
    </x:row>
    <x:row r="66" ht="21" customHeight="1">
      <x:c r="A66" s="8" t="n">
        <x:v>157</x:v>
      </x:c>
      <x:c r="B66" s="8" t="str">
        <x:v>2026-10-01</x:v>
      </x:c>
      <x:c r="C66" s="8" t="str">
        <x:v>2026-10-01</x:v>
      </x:c>
      <x:c r="D66" s="8" t="str">
        <x:v>merged</x:v>
      </x:c>
      <x:c r="E66" s="8" t="str">
        <x:v>https://github.com/ONN9IX/smart-garden/pull/157</x:v>
      </x:c>
    </x:row>
    <x:row r="67" ht="21" customHeight="1">
      <x:c r="A67" s="8" t="n">
        <x:v>160</x:v>
      </x:c>
      <x:c r="B67" s="8" t="str">
        <x:v>2026-10-02</x:v>
      </x:c>
      <x:c r="C67" s="8" t="str">
        <x:v>2026-10-02</x:v>
      </x:c>
      <x:c r="D67" s="8" t="str">
        <x:v>merged</x:v>
      </x:c>
      <x:c r="E67" s="8" t="str">
        <x:v>https://github.com/ONN9IX/smart-garden/pull/160</x:v>
      </x:c>
    </x:row>
    <x:row r="68" ht="21" customHeight="1">
      <x:c r="A68" s="8" t="n">
        <x:v>165</x:v>
      </x:c>
      <x:c r="B68" s="8" t="str">
        <x:v>2026-10-06</x:v>
      </x:c>
      <x:c r="C68" s="8" t="str">
        <x:v>2026-10-06</x:v>
      </x:c>
      <x:c r="D68" s="8" t="str">
        <x:v>merged</x:v>
      </x:c>
      <x:c r="E68" s="8" t="str">
        <x:v>https://github.com/ONN9IX/smart-garden/pull/165</x:v>
      </x:c>
    </x:row>
    <x:row r="69" ht="21" customHeight="1">
      <x:c r="A69" s="8" t="n">
        <x:v>167</x:v>
      </x:c>
      <x:c r="B69" s="8" t="str">
        <x:v>2026-10-06</x:v>
      </x:c>
      <x:c r="C69" s="8" t="str">
        <x:v>2026-10-06</x:v>
      </x:c>
      <x:c r="D69" s="8" t="str">
        <x:v>merged</x:v>
      </x:c>
      <x:c r="E69" s="8" t="str">
        <x:v>https://github.com/ONN9IX/smart-garden/pull/167</x:v>
      </x:c>
    </x:row>
    <x:row r="70" ht="21" customHeight="1">
      <x:c r="A70" s="8" t="n">
        <x:v>169</x:v>
      </x:c>
      <x:c r="B70" s="8" t="str">
        <x:v>2026-10-06</x:v>
      </x:c>
      <x:c r="C70" s="8" t="str">
        <x:v>2026-10-06</x:v>
      </x:c>
      <x:c r="D70" s="8" t="str">
        <x:v>merged</x:v>
      </x:c>
      <x:c r="E70" s="8" t="str">
        <x:v>https://github.com/ONN9IX/smart-garden/pull/169</x:v>
      </x:c>
    </x:row>
    <x:row r="71" ht="21" customHeight="1">
      <x:c r="A71" s="8" t="n">
        <x:v>180</x:v>
      </x:c>
      <x:c r="B71" s="8" t="str">
        <x:v>2026-10-07</x:v>
      </x:c>
      <x:c r="C71" s="8" t="str">
        <x:v>2026-10-07</x:v>
      </x:c>
      <x:c r="D71" s="8" t="str">
        <x:v>merged</x:v>
      </x:c>
      <x:c r="E71" s="8" t="str">
        <x:v>https://github.com/ONN9IX/smart-garden/pull/180</x:v>
      </x:c>
    </x:row>
    <x:row r="72" ht="21" customHeight="1">
      <x:c r="A72" s="8" t="n">
        <x:v>181</x:v>
      </x:c>
      <x:c r="B72" s="8" t="str">
        <x:v>2026-10-07</x:v>
      </x:c>
      <x:c r="C72" s="8" t="str">
        <x:v>2026-10-07</x:v>
      </x:c>
      <x:c r="D72" s="8" t="str">
        <x:v>merged</x:v>
      </x:c>
      <x:c r="E72" s="8" t="str">
        <x:v>https://github.com/ONN9IX/smart-garden/pull/181</x:v>
      </x:c>
    </x:row>
    <x:row r="73" ht="21" customHeight="1">
      <x:c r="A73" s="8" t="n">
        <x:v>182</x:v>
      </x:c>
      <x:c r="B73" s="8" t="str">
        <x:v>2026-10-07</x:v>
      </x:c>
      <x:c r="C73" s="8" t="str">
        <x:v>2026-10-07</x:v>
      </x:c>
      <x:c r="D73" s="8" t="str">
        <x:v>merged</x:v>
      </x:c>
      <x:c r="E73" s="8" t="str">
        <x:v>https://github.com/ONN9IX/smart-garden/pull/182</x:v>
      </x:c>
    </x:row>
    <x:row r="74" ht="21" customHeight="1">
      <x:c r="A74" s="8" t="n">
        <x:v>184</x:v>
      </x:c>
      <x:c r="B74" s="8" t="str">
        <x:v>2026-10-07</x:v>
      </x:c>
      <x:c r="C74" s="8" t="str">
        <x:v>2026-10-08</x:v>
      </x:c>
      <x:c r="D74" s="8" t="str">
        <x:v>merged</x:v>
      </x:c>
      <x:c r="E74" s="8" t="str">
        <x:v>https://github.com/ONN9IX/smart-garden/pull/184</x:v>
      </x:c>
    </x:row>
    <x:row r="75" ht="21" customHeight="1">
      <x:c r="A75" s="8" t="n">
        <x:v>186</x:v>
      </x:c>
      <x:c r="B75" s="8" t="str">
        <x:v>2026-10-08</x:v>
      </x:c>
      <x:c r="C75" s="8" t="str">
        <x:v>2026-10-08</x:v>
      </x:c>
      <x:c r="D75" s="8" t="str">
        <x:v>merged</x:v>
      </x:c>
      <x:c r="E75" s="8" t="str">
        <x:v>https://github.com/ONN9IX/smart-garden/pull/186</x:v>
      </x:c>
    </x:row>
    <x:row r="76" ht="21" customHeight="1">
      <x:c r="A76" s="8" t="n">
        <x:v>188</x:v>
      </x:c>
      <x:c r="B76" s="8" t="str">
        <x:v>2026-10-08</x:v>
      </x:c>
      <x:c r="C76" s="8" t="str">
        <x:v>2026-10-08</x:v>
      </x:c>
      <x:c r="D76" s="8" t="str">
        <x:v>merged</x:v>
      </x:c>
      <x:c r="E76" s="8" t="str">
        <x:v>https://github.com/ONN9IX/smart-garden/pull/188</x:v>
      </x:c>
    </x:row>
    <x:row r="77" ht="21" customHeight="1">
      <x:c r="A77" s="8" t="n">
        <x:v>191</x:v>
      </x:c>
      <x:c r="B77" s="8" t="str">
        <x:v>2026-10-08</x:v>
      </x:c>
      <x:c r="C77" s="8" t="str"/>
      <x:c r="D77" s="8" t="str">
        <x:v>open</x:v>
      </x:c>
      <x:c r="E77" s="8" t="str">
        <x:v>https://github.com/ONN9IX/smart-garden/pull/191</x:v>
      </x:c>
    </x:row>
    <x:row r="78" ht="21" customHeight="1">
      <x:c r="A78" s="8" t="n">
        <x:v>192</x:v>
      </x:c>
      <x:c r="B78" s="8" t="str">
        <x:v>2026-10-08</x:v>
      </x:c>
      <x:c r="C78" s="8" t="str"/>
      <x:c r="D78" s="8" t="str">
        <x:v>open</x:v>
      </x:c>
      <x:c r="E78" s="8" t="str">
        <x:v>https://github.com/ONN9IX/smart-garden/pull/192</x:v>
      </x:c>
    </x:row>
    <x:row r="79" ht="21" customHeight="1">
      <x:c r="A79" s="8" t="n">
        <x:v>193</x:v>
      </x:c>
      <x:c r="B79" s="8" t="str">
        <x:v>2026-10-08</x:v>
      </x:c>
      <x:c r="C79" s="8" t="str"/>
      <x:c r="D79" s="8" t="str">
        <x:v>open</x:v>
      </x:c>
      <x:c r="E79" s="8" t="str">
        <x:v>https://github.com/ONN9IX/smart-garden/pull/193</x:v>
      </x:c>
    </x:row>
    <x:row r="80" ht="21" customHeight="1">
      <x:c r="A80" s="8" t="n">
        <x:v>194</x:v>
      </x:c>
      <x:c r="B80" s="8" t="str">
        <x:v>2026-10-08</x:v>
      </x:c>
      <x:c r="C80" s="8" t="str"/>
      <x:c r="D80" s="8" t="str">
        <x:v>open</x:v>
      </x:c>
      <x:c r="E80" s="8" t="str">
        <x:v>https://github.com/ONN9IX/smart-garden/pull/194</x:v>
      </x:c>
    </x:row>
    <x:row r="81" ht="21" customHeight="1">
      <x:c r="A81" s="8" t="n">
        <x:v>196</x:v>
      </x:c>
      <x:c r="B81" s="8" t="str">
        <x:v>2026-10-08</x:v>
      </x:c>
      <x:c r="C81" s="8" t="str">
        <x:v>2026-10-08</x:v>
      </x:c>
      <x:c r="D81" s="8" t="str">
        <x:v>merged</x:v>
      </x:c>
      <x:c r="E81" s="8" t="str">
        <x:v>https://github.com/ONN9IX/smart-garden/pull/196</x:v>
      </x:c>
    </x:row>
    <x:row r="82" ht="21" customHeight="1">
      <x:c r="A82" s="8" t="n">
        <x:v>205</x:v>
      </x:c>
      <x:c r="B82" s="8" t="str">
        <x:v>2026-10-08</x:v>
      </x:c>
      <x:c r="C82" s="8" t="str">
        <x:v>2026-10-08</x:v>
      </x:c>
      <x:c r="D82" s="8" t="str">
        <x:v>merged</x:v>
      </x:c>
      <x:c r="E82" s="8" t="str">
        <x:v>https://github.com/ONN9IX/smart-garden/pull/205</x:v>
      </x:c>
    </x:row>
    <x:row r="83" ht="21" customHeight="1">
      <x:c r="A83" s="8" t="n">
        <x:v>206</x:v>
      </x:c>
      <x:c r="B83" s="8" t="str">
        <x:v>2026-10-08</x:v>
      </x:c>
      <x:c r="C83" s="8" t="str">
        <x:v>2026-10-09</x:v>
      </x:c>
      <x:c r="D83" s="8" t="str">
        <x:v>merged</x:v>
      </x:c>
      <x:c r="E83" s="8" t="str">
        <x:v>https://github.com/ONN9IX/smart-garden/pull/206</x:v>
      </x:c>
    </x:row>
    <x:row r="84" ht="21" customHeight="1">
      <x:c r="A84" s="8" t="n">
        <x:v>208</x:v>
      </x:c>
      <x:c r="B84" s="8" t="str">
        <x:v>2026-10-09</x:v>
      </x:c>
      <x:c r="C84" s="8" t="str">
        <x:v>2026-10-09</x:v>
      </x:c>
      <x:c r="D84" s="8" t="str">
        <x:v>merged</x:v>
      </x:c>
      <x:c r="E84" s="8" t="str">
        <x:v>https://github.com/ONN9IX/smart-garden/pull/208</x:v>
      </x:c>
    </x:row>
    <x:row r="85" ht="21" customHeight="1">
      <x:c r="A85" s="8" t="n">
        <x:v>210</x:v>
      </x:c>
      <x:c r="B85" s="8" t="str">
        <x:v>2026-10-09</x:v>
      </x:c>
      <x:c r="C85" s="8" t="str">
        <x:v>2026-10-09</x:v>
      </x:c>
      <x:c r="D85" s="8" t="str">
        <x:v>merged</x:v>
      </x:c>
      <x:c r="E85" s="8" t="str">
        <x:v>https://github.com/ONN9IX/smart-garden/pull/210</x:v>
      </x:c>
    </x:row>
    <x:row r="86" ht="21" customHeight="1">
      <x:c r="A86" s="8" t="n">
        <x:v>212</x:v>
      </x:c>
      <x:c r="B86" s="8" t="str">
        <x:v>2026-10-10</x:v>
      </x:c>
      <x:c r="C86" s="8" t="str">
        <x:v>2026-10-10</x:v>
      </x:c>
      <x:c r="D86" s="8" t="str">
        <x:v>merged</x:v>
      </x:c>
      <x:c r="E86" s="8" t="str">
        <x:v>https://github.com/ONN9IX/smart-garden/pull/212</x:v>
      </x:c>
    </x:row>
    <x:row r="87" ht="21" customHeight="1">
      <x:c r="A87" s="8" t="n">
        <x:v>215</x:v>
      </x:c>
      <x:c r="B87" s="8" t="str">
        <x:v>2026-10-10</x:v>
      </x:c>
      <x:c r="C87" s="8" t="str">
        <x:v>2026-10-10</x:v>
      </x:c>
      <x:c r="D87" s="8" t="str">
        <x:v>merged</x:v>
      </x:c>
      <x:c r="E87" s="8" t="str">
        <x:v>https://github.com/ONN9IX/smart-garden/pull/215</x:v>
      </x:c>
    </x:row>
    <x:row r="88" ht="21" customHeight="1">
      <x:c r="A88" s="8" t="n">
        <x:v>217</x:v>
      </x:c>
      <x:c r="B88" s="8" t="str">
        <x:v>2026-10-10</x:v>
      </x:c>
      <x:c r="C88" s="8" t="str">
        <x:v>2026-10-10</x:v>
      </x:c>
      <x:c r="D88" s="8" t="str">
        <x:v>merged</x:v>
      </x:c>
      <x:c r="E88" s="8" t="str">
        <x:v>https://github.com/ONN9IX/smart-garden/pull/217</x:v>
      </x:c>
    </x:row>
    <x:row r="89" ht="21" customHeight="1">
      <x:c r="A89" s="8" t="n">
        <x:v>219</x:v>
      </x:c>
      <x:c r="B89" s="8" t="str">
        <x:v>2026-10-11</x:v>
      </x:c>
      <x:c r="C89" s="8" t="str">
        <x:v>2026-10-12</x:v>
      </x:c>
      <x:c r="D89" s="8" t="str">
        <x:v>merged</x:v>
      </x:c>
      <x:c r="E89" s="8" t="str">
        <x:v>https://github.com/ONN9IX/smart-garden/pull/219</x:v>
      </x:c>
    </x:row>
    <x:row r="90" ht="21" customHeight="1">
      <x:c r="A90" s="8" t="n">
        <x:v>220</x:v>
      </x:c>
      <x:c r="B90" s="8" t="str">
        <x:v>2026-10-12</x:v>
      </x:c>
      <x:c r="C90" s="8" t="str">
        <x:v>2026-10-12</x:v>
      </x:c>
      <x:c r="D90" s="8" t="str">
        <x:v>merged</x:v>
      </x:c>
      <x:c r="E90" s="8" t="str">
        <x:v>https://github.com/ONN9IX/smart-garden/pull/220</x:v>
      </x:c>
    </x:row>
    <x:row r="91" ht="21" customHeight="1">
      <x:c r="A91" s="8" t="n">
        <x:v>225</x:v>
      </x:c>
      <x:c r="B91" s="8" t="str">
        <x:v>2026-10-12</x:v>
      </x:c>
      <x:c r="C91" s="8" t="str">
        <x:v>2026-10-12</x:v>
      </x:c>
      <x:c r="D91" s="8" t="str">
        <x:v>merged</x:v>
      </x:c>
      <x:c r="E91" s="8" t="str">
        <x:v>https://github.com/ONN9IX/smart-garden/pull/225</x:v>
      </x:c>
    </x:row>
    <x:row r="92" ht="21" customHeight="1">
      <x:c r="A92" s="8" t="n">
        <x:v>227</x:v>
      </x:c>
      <x:c r="B92" s="8" t="str">
        <x:v>2026-10-12</x:v>
      </x:c>
      <x:c r="C92" s="8" t="str">
        <x:v>2026-10-12</x:v>
      </x:c>
      <x:c r="D92" s="8" t="str">
        <x:v>merged</x:v>
      </x:c>
      <x:c r="E92" s="8" t="str">
        <x:v>https://github.com/ONN9IX/smart-garden/pull/227</x:v>
      </x:c>
    </x:row>
    <x:row r="93" ht="21" customHeight="1">
      <x:c r="A93" s="8" t="n">
        <x:v>229</x:v>
      </x:c>
      <x:c r="B93" s="8" t="str">
        <x:v>2026-10-12</x:v>
      </x:c>
      <x:c r="C93" s="8" t="str">
        <x:v>2026-10-12</x:v>
      </x:c>
      <x:c r="D93" s="8" t="str">
        <x:v>merged</x:v>
      </x:c>
      <x:c r="E93" s="8" t="str">
        <x:v>https://github.com/ONN9IX/smart-garden/pull/229</x:v>
      </x:c>
    </x:row>
    <x:row r="94" ht="21" customHeight="1">
      <x:c r="A94" s="8" t="n">
        <x:v>230</x:v>
      </x:c>
      <x:c r="B94" s="8" t="str">
        <x:v>2026-10-12</x:v>
      </x:c>
      <x:c r="C94" s="8" t="str">
        <x:v>2026-10-12</x:v>
      </x:c>
      <x:c r="D94" s="8" t="str">
        <x:v>merged</x:v>
      </x:c>
      <x:c r="E94" s="8" t="str">
        <x:v>https://github.com/ONN9IX/smart-garden/pull/230</x:v>
      </x:c>
    </x:row>
    <x:row r="95" ht="21" customHeight="1">
      <x:c r="A95" s="8" t="n">
        <x:v>231</x:v>
      </x:c>
      <x:c r="B95" s="8" t="str">
        <x:v>2026-10-13</x:v>
      </x:c>
      <x:c r="C95" s="8" t="str">
        <x:v>2026-10-13</x:v>
      </x:c>
      <x:c r="D95" s="8" t="str">
        <x:v>merged</x:v>
      </x:c>
      <x:c r="E95" s="8" t="str">
        <x:v>https://github.com/ONN9IX/smart-garden/pull/231</x:v>
      </x:c>
    </x:row>
    <x:row r="96" ht="21" customHeight="1">
      <x:c r="A96" s="8" t="n">
        <x:v>232</x:v>
      </x:c>
      <x:c r="B96" s="8" t="str">
        <x:v>2026-10-13</x:v>
      </x:c>
      <x:c r="C96" s="8" t="str"/>
      <x:c r="D96" s="8" t="str">
        <x:v>open</x:v>
      </x:c>
      <x:c r="E96" s="8" t="str">
        <x:v>https://github.com/ONN9IX/smart-garden/pull/232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4" customHeight="1">
      <x:c r="A1" s="4" t="str">
        <x:v>date</x:v>
      </x:c>
      <x:c r="B1" s="4" t="str">
        <x:v>issues_created</x:v>
      </x:c>
      <x:c r="C1" s="4" t="str">
        <x:v>issues_closed</x:v>
      </x:c>
      <x:c r="D1" s="4" t="str">
        <x:v>prs_created</x:v>
      </x:c>
      <x:c r="E1" s="4" t="str">
        <x:v>prs_merged</x:v>
      </x:c>
    </x:row>
    <x:row r="2" ht="21" customHeight="1">
      <x:c r="A2" s="8" t="str">
        <x:v>2026-09-23</x:v>
      </x:c>
      <x:c r="B2" s="8" t="n">
        <x:v>28</x:v>
      </x:c>
      <x:c r="C2" s="8" t="n">
        <x:v>2</x:v>
      </x:c>
      <x:c r="D2" s="8" t="n">
        <x:v>2</x:v>
      </x:c>
      <x:c r="E2" s="8" t="n">
        <x:v>0</x:v>
      </x:c>
    </x:row>
    <x:row r="3" ht="21" customHeight="1">
      <x:c r="A3" s="8" t="str">
        <x:v>2026-09-24</x:v>
      </x:c>
      <x:c r="B3" s="8" t="n">
        <x:v>0</x:v>
      </x:c>
      <x:c r="C3" s="8" t="n">
        <x:v>0</x:v>
      </x:c>
      <x:c r="D3" s="8" t="n">
        <x:v>1</x:v>
      </x:c>
      <x:c r="E3" s="8" t="n">
        <x:v>0</x:v>
      </x:c>
    </x:row>
    <x:row r="4" ht="21" customHeight="1">
      <x:c r="A4" s="8" t="str">
        <x:v>2026-09-25</x:v>
      </x:c>
      <x:c r="B4" s="8" t="n">
        <x:v>19</x:v>
      </x:c>
      <x:c r="C4" s="8" t="n">
        <x:v>41</x:v>
      </x:c>
      <x:c r="D4" s="8" t="n">
        <x:v>15</x:v>
      </x:c>
      <x:c r="E4" s="8" t="n">
        <x:v>16</x:v>
      </x:c>
    </x:row>
    <x:row r="5" ht="21" customHeight="1">
      <x:c r="A5" s="8" t="str">
        <x:v>2026-09-26</x:v>
      </x:c>
      <x:c r="B5" s="8" t="n">
        <x:v>12</x:v>
      </x:c>
      <x:c r="C5" s="8" t="n">
        <x:v>14</x:v>
      </x:c>
      <x:c r="D5" s="8" t="n">
        <x:v>13</x:v>
      </x:c>
      <x:c r="E5" s="8" t="n">
        <x:v>13</x:v>
      </x:c>
    </x:row>
    <x:row r="6" ht="21" customHeight="1">
      <x:c r="A6" s="8" t="str">
        <x:v>2026-09-27</x:v>
      </x:c>
      <x:c r="B6" s="8" t="n">
        <x:v>2</x:v>
      </x:c>
      <x:c r="C6" s="8" t="n">
        <x:v>1</x:v>
      </x:c>
      <x:c r="D6" s="8" t="n">
        <x:v>4</x:v>
      </x:c>
      <x:c r="E6" s="8" t="n">
        <x:v>3</x:v>
      </x:c>
    </x:row>
    <x:row r="7" ht="21" customHeight="1">
      <x:c r="A7" s="8" t="str">
        <x:v>2026-09-28</x:v>
      </x:c>
      <x:c r="B7" s="8" t="n">
        <x:v>4</x:v>
      </x:c>
      <x:c r="C7" s="8" t="n">
        <x:v>4</x:v>
      </x:c>
      <x:c r="D7" s="8" t="n">
        <x:v>4</x:v>
      </x:c>
      <x:c r="E7" s="8" t="n">
        <x:v>4</x:v>
      </x:c>
    </x:row>
    <x:row r="8" ht="21" customHeight="1">
      <x:c r="A8" s="8" t="str">
        <x:v>2026-09-29</x:v>
      </x:c>
      <x:c r="B8" s="8" t="n">
        <x:v>8</x:v>
      </x:c>
      <x:c r="C8" s="8" t="n">
        <x:v>11</x:v>
      </x:c>
      <x:c r="D8" s="8" t="n">
        <x:v>8</x:v>
      </x:c>
      <x:c r="E8" s="8" t="n">
        <x:v>9</x:v>
      </x:c>
    </x:row>
    <x:row r="9" ht="21" customHeight="1">
      <x:c r="A9" s="8" t="str">
        <x:v>2026-09-30</x:v>
      </x:c>
      <x:c r="B9" s="8" t="n">
        <x:v>11</x:v>
      </x:c>
      <x:c r="C9" s="8" t="n">
        <x:v>10</x:v>
      </x:c>
      <x:c r="D9" s="8" t="n">
        <x:v>9</x:v>
      </x:c>
      <x:c r="E9" s="8" t="n">
        <x:v>9</x:v>
      </x:c>
    </x:row>
    <x:row r="10" ht="21" customHeight="1">
      <x:c r="A10" s="8" t="str">
        <x:v>2026-10-01</x:v>
      </x:c>
      <x:c r="B10" s="8" t="n">
        <x:v>9</x:v>
      </x:c>
      <x:c r="C10" s="8" t="n">
        <x:v>9</x:v>
      </x:c>
      <x:c r="D10" s="8" t="n">
        <x:v>9</x:v>
      </x:c>
      <x:c r="E10" s="8" t="n">
        <x:v>9</x:v>
      </x:c>
    </x:row>
    <x:row r="11" ht="21" customHeight="1">
      <x:c r="A11" s="8" t="str">
        <x:v>2026-10-02</x:v>
      </x:c>
      <x:c r="B11" s="8" t="n">
        <x:v>1</x:v>
      </x:c>
      <x:c r="C11" s="8" t="n">
        <x:v>1</x:v>
      </x:c>
      <x:c r="D11" s="8" t="n">
        <x:v>1</x:v>
      </x:c>
      <x:c r="E11" s="8" t="n">
        <x:v>1</x:v>
      </x:c>
    </x:row>
    <x:row r="12" ht="21" customHeight="1">
      <x:c r="A12" s="8" t="str">
        <x:v>2026-10-03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</x:row>
    <x:row r="13" ht="21" customHeight="1">
      <x:c r="A13" s="8" t="str">
        <x:v>2026-10-04</x:v>
      </x:c>
      <x:c r="B13" s="8" t="n">
        <x:v>0</x:v>
      </x:c>
      <x:c r="C13" s="8" t="n">
        <x:v>0</x:v>
      </x:c>
      <x:c r="D13" s="8" t="n">
        <x:v>0</x:v>
      </x:c>
      <x:c r="E13" s="8" t="n">
        <x:v>0</x:v>
      </x:c>
    </x:row>
    <x:row r="14" ht="21" customHeight="1">
      <x:c r="A14" s="8" t="str">
        <x:v>2026-10-05</x:v>
      </x:c>
      <x:c r="B14" s="8" t="n">
        <x:v>2</x:v>
      </x:c>
      <x:c r="C14" s="8" t="n">
        <x:v>0</x:v>
      </x:c>
      <x:c r="D14" s="8" t="n">
        <x:v>0</x:v>
      </x:c>
      <x:c r="E14" s="8" t="n">
        <x:v>0</x:v>
      </x:c>
    </x:row>
    <x:row r="15" ht="21" customHeight="1">
      <x:c r="A15" s="8" t="str">
        <x:v>2026-10-06</x:v>
      </x:c>
      <x:c r="B15" s="8" t="n">
        <x:v>6</x:v>
      </x:c>
      <x:c r="C15" s="8" t="n">
        <x:v>3</x:v>
      </x:c>
      <x:c r="D15" s="8" t="n">
        <x:v>3</x:v>
      </x:c>
      <x:c r="E15" s="8" t="n">
        <x:v>3</x:v>
      </x:c>
    </x:row>
    <x:row r="16" ht="21" customHeight="1">
      <x:c r="A16" s="8" t="str">
        <x:v>2026-10-07</x:v>
      </x:c>
      <x:c r="B16" s="8" t="n">
        <x:v>9</x:v>
      </x:c>
      <x:c r="C16" s="8" t="n">
        <x:v>6</x:v>
      </x:c>
      <x:c r="D16" s="8" t="n">
        <x:v>4</x:v>
      </x:c>
      <x:c r="E16" s="8" t="n">
        <x:v>3</x:v>
      </x:c>
    </x:row>
    <x:row r="17" ht="21" customHeight="1">
      <x:c r="A17" s="8" t="str">
        <x:v>2026-10-08</x:v>
      </x:c>
      <x:c r="B17" s="8" t="n">
        <x:v>13</x:v>
      </x:c>
      <x:c r="C17" s="8" t="n">
        <x:v>5</x:v>
      </x:c>
      <x:c r="D17" s="8" t="n">
        <x:v>9</x:v>
      </x:c>
      <x:c r="E17" s="8" t="n">
        <x:v>5</x:v>
      </x:c>
    </x:row>
    <x:row r="18" ht="21" customHeight="1">
      <x:c r="A18" s="8" t="str">
        <x:v>2026-10-09</x:v>
      </x:c>
      <x:c r="B18" s="8" t="n">
        <x:v>2</x:v>
      </x:c>
      <x:c r="C18" s="8" t="n">
        <x:v>1</x:v>
      </x:c>
      <x:c r="D18" s="8" t="n">
        <x:v>2</x:v>
      </x:c>
      <x:c r="E18" s="8" t="n">
        <x:v>3</x:v>
      </x:c>
    </x:row>
    <x:row r="19" ht="21" customHeight="1">
      <x:c r="A19" s="8" t="str">
        <x:v>2026-10-10</x:v>
      </x:c>
      <x:c r="B19" s="8" t="n">
        <x:v>4</x:v>
      </x:c>
      <x:c r="C19" s="8" t="n">
        <x:v>3</x:v>
      </x:c>
      <x:c r="D19" s="8" t="n">
        <x:v>3</x:v>
      </x:c>
      <x:c r="E19" s="8" t="n">
        <x:v>3</x:v>
      </x:c>
    </x:row>
    <x:row r="20" ht="21" customHeight="1">
      <x:c r="A20" s="8" t="str">
        <x:v>2026-10-11</x:v>
      </x:c>
      <x:c r="B20" s="8" t="n">
        <x:v>1</x:v>
      </x:c>
      <x:c r="C20" s="8" t="n">
        <x:v>0</x:v>
      </x:c>
      <x:c r="D20" s="8" t="n">
        <x:v>1</x:v>
      </x:c>
      <x:c r="E20" s="8" t="n">
        <x:v>0</x:v>
      </x:c>
    </x:row>
    <x:row r="21" ht="21" customHeight="1">
      <x:c r="A21" s="8" t="str">
        <x:v>2026-10-12</x:v>
      </x:c>
      <x:c r="B21" s="8" t="n">
        <x:v>6</x:v>
      </x:c>
      <x:c r="C21" s="8" t="n">
        <x:v>6</x:v>
      </x:c>
      <x:c r="D21" s="8" t="n">
        <x:v>5</x:v>
      </x:c>
      <x:c r="E21" s="8" t="n">
        <x:v>6</x:v>
      </x:c>
    </x:row>
    <x:row r="22" ht="21" customHeight="1">
      <x:c r="A22" s="8" t="str">
        <x:v>2026-10-13</x:v>
      </x:c>
      <x:c r="B22" s="8" t="n">
        <x:v>0</x:v>
      </x:c>
      <x:c r="C22" s="8" t="n">
        <x:v>1</x:v>
      </x:c>
      <x:c r="D22" s="8" t="n">
        <x:v>2</x:v>
      </x:c>
      <x:c r="E22" s="8" t="n">
        <x:v>1</x:v>
      </x:c>
    </x:row>
  </x:sheetData>
  <x:pageMargins left="0.7" right="0.7" top="0.75" bottom="0.75" header="0.3" footer="0.3"/>
  <x:drawing xmlns:r="http://schemas.openxmlformats.org/officeDocument/2006/relationships" r:id="R80d84b8ea6244f34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7" hidden="0" customWidth="1"/>
    <x:col min="3" max="3" width="17" hidden="0" customWidth="1"/>
    <x:col min="4" max="4" width="17" hidden="0" customWidth="1"/>
    <x:col min="5" max="5" width="29" hidden="0" customWidth="1"/>
    <x:col min="6" max="6" width="17" hidden="0" customWidth="1"/>
    <x:col min="7" max="7" width="53" hidden="0" customWidth="1"/>
    <x:col min="8" max="8" width="54" hidden="0" customWidth="1"/>
    <x:col min="9" max="9" width="15" hidden="0" customWidth="1"/>
  </x:cols>
  <x:sheetData>
    <x:row r="1" ht="34" customHeight="1">
      <x:c r="A1" s="4" t="str">
        <x:v>risk_id</x:v>
      </x:c>
      <x:c r="B1" s="4" t="str">
        <x:v>risk</x:v>
      </x:c>
      <x:c r="C1" s="4" t="str">
        <x:v>probability_1_5</x:v>
      </x:c>
      <x:c r="D1" s="4" t="str">
        <x:v>impact_1_5</x:v>
      </x:c>
      <x:c r="E1" s="4" t="str">
        <x:v>assessment_status</x:v>
      </x:c>
      <x:c r="F1" s="4" t="str">
        <x:v>source_issue</x:v>
      </x:c>
      <x:c r="G1" s="4" t="str">
        <x:v>url</x:v>
      </x:c>
      <x:c r="H1" s="4" t="str">
        <x:v>mitigation_proposal</x:v>
      </x:c>
      <x:c r="I1" s="4" t="str">
        <x:v>risk_score</x:v>
      </x:c>
    </x:row>
    <x:row r="2" ht="21" customHeight="1">
      <x:c r="A2" s="8" t="str">
        <x:v>R-01</x:v>
      </x:c>
      <x:c r="B2" s="8" t="str">
        <x:v>Готовность процессов персональных данных</x:v>
      </x:c>
      <x:c r="C2" s="8" t="n">
        <x:v>3</x:v>
      </x:c>
      <x:c r="D2" s="8" t="n">
        <x:v>5</x:v>
      </x:c>
      <x:c r="E2" s="8" t="str">
        <x:v>Экспертная учебная оценка</x:v>
      </x:c>
      <x:c r="F2" s="8" t="str">
        <x:v>223</x:v>
      </x:c>
      <x:c r="G2" s="8" t="str">
        <x:v>https://github.com/ONN9IX/smart-garden/issues/223</x:v>
      </x:c>
      <x:c r="H2" s="8" t="str">
        <x:v>Провести security и privacy go/no-go перед пилотом</x:v>
      </x:c>
      <x:c r="I2" s="8" t="n">
        <x:f>C2*D2</x:f>
        <x:v>15</x:v>
      </x:c>
    </x:row>
    <x:row r="3" ht="21" customHeight="1">
      <x:c r="A3" s="8" t="str">
        <x:v>R-02</x:v>
      </x:c>
      <x:c r="B3" s="8" t="str">
        <x:v>Недостаточная проверка пилотных сценариев</x:v>
      </x:c>
      <x:c r="C3" s="8" t="n">
        <x:v>3</x:v>
      </x:c>
      <x:c r="D3" s="8" t="n">
        <x:v>4</x:v>
      </x:c>
      <x:c r="E3" s="8" t="str">
        <x:v>Экспертная учебная оценка</x:v>
      </x:c>
      <x:c r="F3" s="8" t="str">
        <x:v>187</x:v>
      </x:c>
      <x:c r="G3" s="8" t="str">
        <x:v>https://github.com/ONN9IX/smart-garden/issues/187</x:v>
      </x:c>
      <x:c r="H3" s="8" t="str">
        <x:v>Утвердить критерии синтетического пилота</x:v>
      </x:c>
      <x:c r="I3" s="8" t="n">
        <x:f>C3*D3</x:f>
        <x:v>12</x:v>
      </x:c>
    </x:row>
    <x:row r="4" ht="21" customHeight="1">
      <x:c r="A4" s="8" t="str">
        <x:v>R-03</x:v>
      </x:c>
      <x:c r="B4" s="8" t="str">
        <x:v>Расширение объёма работ универсальными профилями</x:v>
      </x:c>
      <x:c r="C4" s="8" t="n">
        <x:v>4</x:v>
      </x:c>
      <x:c r="D4" s="8" t="n">
        <x:v>4</x:v>
      </x:c>
      <x:c r="E4" s="8" t="str">
        <x:v>Экспертная учебная оценка</x:v>
      </x:c>
      <x:c r="F4" s="8" t="str">
        <x:v>162</x:v>
      </x:c>
      <x:c r="G4" s="8" t="str">
        <x:v>https://github.com/ONN9IX/smart-garden/issues/162</x:v>
      </x:c>
      <x:c r="H4" s="8" t="str">
        <x:v>Разделить MVP и будущую архитектуру</x:v>
      </x:c>
      <x:c r="I4" s="8" t="n">
        <x:f>C4*D4</x:f>
        <x:v>16</x:v>
      </x:c>
    </x:row>
    <x:row r="5" ht="21" customHeight="1">
      <x:c r="A5" s="8" t="str">
        <x:v>R-04</x:v>
      </x:c>
      <x:c r="B5" s="8" t="str">
        <x:v>Недоработанные мобильные сценарии</x:v>
      </x:c>
      <x:c r="C5" s="8" t="n">
        <x:v>3</x:v>
      </x:c>
      <x:c r="D5" s="8" t="n">
        <x:v>3</x:v>
      </x:c>
      <x:c r="E5" s="8" t="str">
        <x:v>Экспертная учебная оценка</x:v>
      </x:c>
      <x:c r="F5" s="8" t="str">
        <x:v>189</x:v>
      </x:c>
      <x:c r="G5" s="8" t="str">
        <x:v>https://github.com/ONN9IX/smart-garden/issues/189</x:v>
      </x:c>
      <x:c r="H5" s="8" t="str">
        <x:v>Провести UX проверку устройств и PWA</x:v>
      </x:c>
      <x:c r="I5" s="8" t="n">
        <x:f>C5*D5</x:f>
        <x:v>9</x:v>
      </x:c>
    </x:row>
    <x:row r="6" ht="21" customHeight="1">
      <x:c r="A6" s="8" t="str">
        <x:v>R-05</x:v>
      </x:c>
      <x:c r="B6" s="8" t="str">
        <x:v>Риски разрешений при автоматизации доставки</x:v>
      </x:c>
      <x:c r="C6" s="8" t="n">
        <x:v>3</x:v>
      </x:c>
      <x:c r="D6" s="8" t="n">
        <x:v>5</x:v>
      </x:c>
      <x:c r="E6" s="8" t="str">
        <x:v>Экспертная учебная оценка</x:v>
      </x:c>
      <x:c r="F6" s="8" t="str">
        <x:v>204</x:v>
      </x:c>
      <x:c r="G6" s="8" t="str">
        <x:v>https://github.com/ONN9IX/smart-garden/issues/204</x:v>
      </x:c>
      <x:c r="H6" s="8" t="str">
        <x:v>Проверить approval gate и права публикации</x:v>
      </x:c>
      <x:c r="I6" s="8" t="n">
        <x:f>C6*D6</x:f>
        <x:v>15</x:v>
      </x:c>
    </x:row>
  </x:sheetData>
  <x:conditionalFormatting sqref="I2:I6">
    <x:cfRule type="colorScale" priority="1">
      <x:colorScale>
        <x:cfvo type="min"/>
        <x:cfvo type="percentile" val="50"/>
        <x:cfvo type="max"/>
        <x:color rgb="FFE8F4EB"/>
        <x:color rgb="FFFFF1C6"/>
        <x:color rgb="FFFCE4E4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5" hidden="0" customWidth="1"/>
  </x:cols>
  <x:sheetData>
    <x:row r="1" ht="28" customHeight="1">
      <x:c r="A1" s="4" t="str">
        <x:v>Показатель / правило</x:v>
      </x:c>
      <x:c r="B1" s="4" t="str">
        <x:v>Пояснение</x:v>
      </x:c>
    </x:row>
    <x:row r="2" ht="30" customHeight="1">
      <x:c r="A2" t="str">
        <x:v>Дата среза</x:v>
      </x:c>
      <x:c r="B2" s="34" t="str">
        <x:v>13 октября 2026; это не live-отчёт</x:v>
      </x:c>
    </x:row>
    <x:row r="3" ht="30" customHeight="1">
      <x:c r="A3" t="str">
        <x:v>Источник</x:v>
      </x:c>
      <x:c r="B3" s="34" t="str">
        <x:v>Публичные GitHub Issues и Pull Requests репозитория ONN9IX/smart-garden</x:v>
      </x:c>
    </x:row>
    <x:row r="4" ht="30" customHeight="1">
      <x:c r="A4" t="str">
        <x:v>Issues</x:v>
      </x:c>
      <x:c r="B4" s="34" t="str">
        <x:v>Из общего endpoint /issues исключены записи с объектом pull_request</x:v>
      </x:c>
    </x:row>
    <x:row r="5" ht="30" customHeight="1">
      <x:c r="A5" t="str">
        <x:v>Закрытые Issues</x:v>
      </x:c>
      <x:c r="B5" s="34" t="str">
        <x:v>state=closed, закрытие не означает готовность всего продукта</x:v>
      </x:c>
    </x:row>
    <x:row r="6" ht="30" customHeight="1">
      <x:c r="A6" t="str">
        <x:v>PR merged</x:v>
      </x:c>
      <x:c r="B6" s="34" t="str">
        <x:v>merged_at != null, не путать с просто closed</x:v>
      </x:c>
    </x:row>
    <x:row r="7" ht="30" customHeight="1">
      <x:c r="A7" t="str">
        <x:v>Сроки</x:v>
      </x:c>
      <x:c r="B7" s="34" t="str">
        <x:v>Календарные даты GitHub не равны человеко-часам</x:v>
      </x:c>
    </x:row>
    <x:row r="8" ht="30" customHeight="1">
      <x:c r="A8" t="str">
        <x:v>Бюджет / EVM</x:v>
      </x:c>
      <x:c r="B8" s="34" t="str">
        <x:v>Не рассчитаны: нет PV, EV, AC и baseline</x:v>
      </x:c>
    </x:row>
    <x:row r="9" ht="30" customHeight="1">
      <x:c r="A9" t="str">
        <x:v>Риски</x:v>
      </x:c>
      <x:c r="B9" s="34" t="str">
        <x:v>Вероятность/влияние — экспертные учебные оценки, не факты исходного проекта</x:v>
      </x:c>
    </x:row>
    <x:row r="10" ht="30" customHeight="1">
      <x:c r="A10" t="str">
        <x:v>ПДн</x:v>
      </x:c>
      <x:c r="B10" s="34" t="str">
        <x:v>Технический MVP не равен production-ready для обработки реальных ПДн</x:v>
      </x:c>
    </x:row>
    <x:row r="11" ht="30" customHeight="1">
      <x:c r="A11" t="str">
        <x:v>Обновление</x:v>
      </x:c>
      <x:c r="B11" s="34" t="str">
        <x:v>python scripts/refresh_from_github.py и затем build_reports.py; XLSX вручную обновить</x:v>
      </x:c>
    </x:row>
  </x:sheetData>
  <x:pageMargins left="0.7" right="0.7" top="0.75" bottom="0.75" header="0.3" footer="0.3"/>
</x:worksheet>
</file>