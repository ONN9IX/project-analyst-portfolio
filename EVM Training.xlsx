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dbea97213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M Training" sheetId="1" r:id="Rd97e16dec959444b"/>
    <x:sheet xmlns:r="http://schemas.openxmlformats.org/officeDocument/2006/relationships" name="Read me" sheetId="2" r:id="R3c8b1108e4da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72A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A45"/>
      </x:patternFill>
    </x:fill>
    <x:fill>
      <x:patternFill patternType="solid">
        <x:fgColor rgb="FF0B7285"/>
      </x:patternFill>
    </x:fill>
    <x:fill>
      <x:patternFill patternType="solid">
        <x:fgColor rgb="FFEBF3F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e6177a8e684130" /><Relationship Type="http://schemas.openxmlformats.org/officeDocument/2006/relationships/theme" Target="/xl/theme/theme1.xml" Id="Ra3dcc550ce1a4eb0" /><Relationship Type="http://schemas.openxmlformats.org/officeDocument/2006/relationships/sharedStrings" Target="/xl/sharedStrings.xml" Id="Rb92ed32dd56e449c" /><Relationship Type="http://schemas.openxmlformats.org/officeDocument/2006/relationships/worksheet" Target="/xl/worksheets/sheet1.xml" Id="Rd97e16dec959444b" /><Relationship Type="http://schemas.openxmlformats.org/officeDocument/2006/relationships/worksheet" Target="/xl/worksheets/sheet2.xml" Id="R3c8b1108e4da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4" t="str">
        <x:v>EVM | УЧЕБНАЯ СИМУЛЯЦИЯ — НЕ РЕАЛЬНЫЙ ПРОЕКТ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4" ht="29" customHeight="1">
      <x:c r="A4" s="9" t="str">
        <x:v>Неделя</x:v>
      </x:c>
      <x:c r="B4" s="9" t="str">
        <x:v>PV</x:v>
      </x:c>
      <x:c r="C4" s="9" t="str">
        <x:v>EV</x:v>
      </x:c>
      <x:c r="D4" s="9" t="str">
        <x:v>AC</x:v>
      </x:c>
      <x:c r="E4" s="9" t="str">
        <x:v>SV = EV−PV</x:v>
      </x:c>
      <x:c r="F4" s="9" t="str">
        <x:v>CV = EV−AC</x:v>
      </x:c>
      <x:c r="G4" s="9" t="str">
        <x:v>SPI = EV/PV</x:v>
      </x:c>
      <x:c r="H4" s="9" t="str">
        <x:v>CPI = EV/AC</x:v>
      </x:c>
    </x:row>
    <x:row r="5" ht="29" customHeight="1">
      <x:c r="A5" t="n">
        <x:v>1</x:v>
      </x:c>
      <x:c r="B5" s="12" t="n">
        <x:v>20000</x:v>
      </x:c>
      <x:c r="C5" s="12" t="n">
        <x:v>18000</x:v>
      </x:c>
      <x:c r="D5" s="12" t="n">
        <x:v>21000</x:v>
      </x:c>
      <x:c r="E5" s="12" t="n">
        <x:f>C5-B5</x:f>
        <x:v>-2000</x:v>
      </x:c>
      <x:c r="F5" s="12" t="n">
        <x:f>C5-D5</x:f>
        <x:v>-3000</x:v>
      </x:c>
      <x:c r="G5" s="14" t="n">
        <x:f>IFERROR(C5/B5,0)</x:f>
        <x:v>0.9</x:v>
      </x:c>
      <x:c r="H5" s="14" t="n">
        <x:f>IFERROR(C5/D5,0)</x:f>
        <x:v>0.8571428571428571</x:v>
      </x:c>
    </x:row>
    <x:row r="6" ht="29" customHeight="1">
      <x:c r="A6" t="n">
        <x:v>2</x:v>
      </x:c>
      <x:c r="B6" s="12" t="n">
        <x:v>45000</x:v>
      </x:c>
      <x:c r="C6" s="12" t="n">
        <x:v>41000</x:v>
      </x:c>
      <x:c r="D6" s="12" t="n">
        <x:v>44000</x:v>
      </x:c>
      <x:c r="E6" s="12" t="n">
        <x:f>C6-B6</x:f>
        <x:v>-4000</x:v>
      </x:c>
      <x:c r="F6" s="12" t="n">
        <x:f>C6-D6</x:f>
        <x:v>-3000</x:v>
      </x:c>
      <x:c r="G6" s="14" t="n">
        <x:f>IFERROR(C6/B6,0)</x:f>
        <x:v>0.9111111111111111</x:v>
      </x:c>
      <x:c r="H6" s="14" t="n">
        <x:f>IFERROR(C6/D6,0)</x:f>
        <x:v>0.9318181818181818</x:v>
      </x:c>
    </x:row>
    <x:row r="7" ht="29" customHeight="1">
      <x:c r="A7" t="n">
        <x:v>3</x:v>
      </x:c>
      <x:c r="B7" s="12" t="n">
        <x:v>70000</x:v>
      </x:c>
      <x:c r="C7" s="12" t="n">
        <x:v>66000</x:v>
      </x:c>
      <x:c r="D7" s="12" t="n">
        <x:v>69000</x:v>
      </x:c>
      <x:c r="E7" s="12" t="n">
        <x:f>C7-B7</x:f>
        <x:v>-4000</x:v>
      </x:c>
      <x:c r="F7" s="12" t="n">
        <x:f>C7-D7</x:f>
        <x:v>-3000</x:v>
      </x:c>
      <x:c r="G7" s="14" t="n">
        <x:f>IFERROR(C7/B7,0)</x:f>
        <x:v>0.9428571428571428</x:v>
      </x:c>
      <x:c r="H7" s="14" t="n">
        <x:f>IFERROR(C7/D7,0)</x:f>
        <x:v>0.9565217391304348</x:v>
      </x:c>
    </x:row>
    <x:row r="8" ht="29" customHeight="1">
      <x:c r="A8" t="n">
        <x:v>4</x:v>
      </x:c>
      <x:c r="B8" s="12" t="n">
        <x:v>100000</x:v>
      </x:c>
      <x:c r="C8" s="12" t="n">
        <x:v>88000</x:v>
      </x:c>
      <x:c r="D8" s="12" t="n">
        <x:v>97000</x:v>
      </x:c>
      <x:c r="E8" s="12" t="n">
        <x:f>C8-B8</x:f>
        <x:v>-12000</x:v>
      </x:c>
      <x:c r="F8" s="12" t="n">
        <x:f>C8-D8</x:f>
        <x:v>-9000</x:v>
      </x:c>
      <x:c r="G8" s="14" t="n">
        <x:f>IFERROR(C8/B8,0)</x:f>
        <x:v>0.88</x:v>
      </x:c>
      <x:c r="H8" s="14" t="n">
        <x:f>IFERROR(C8/D8,0)</x:f>
        <x:v>0.9072164948453608</x:v>
      </x:c>
    </x:row>
    <x:row r="9" ht="29" customHeight="1">
      <x:c r="A9" t="n">
        <x:v>5</x:v>
      </x:c>
      <x:c r="B9" s="12" t="n">
        <x:v>140000</x:v>
      </x:c>
      <x:c r="C9" s="12" t="n">
        <x:v>118000</x:v>
      </x:c>
      <x:c r="D9" s="12" t="n">
        <x:v>128000</x:v>
      </x:c>
      <x:c r="E9" s="12" t="n">
        <x:f>C9-B9</x:f>
        <x:v>-22000</x:v>
      </x:c>
      <x:c r="F9" s="12" t="n">
        <x:f>C9-D9</x:f>
        <x:v>-10000</x:v>
      </x:c>
      <x:c r="G9" s="14" t="n">
        <x:f>IFERROR(C9/B9,0)</x:f>
        <x:v>0.8428571428571429</x:v>
      </x:c>
      <x:c r="H9" s="14" t="n">
        <x:f>IFERROR(C9/D9,0)</x:f>
        <x:v>0.921875</x:v>
      </x:c>
    </x:row>
    <x:row r="10" ht="29" customHeight="1">
      <x:c r="A10" t="n">
        <x:v>6</x:v>
      </x:c>
      <x:c r="B10" s="12" t="n">
        <x:v>180000</x:v>
      </x:c>
      <x:c r="C10" s="12" t="n">
        <x:v>160000</x:v>
      </x:c>
      <x:c r="D10" s="12" t="n">
        <x:v>175000</x:v>
      </x:c>
      <x:c r="E10" s="12" t="n">
        <x:f>C10-B10</x:f>
        <x:v>-20000</x:v>
      </x:c>
      <x:c r="F10" s="12" t="n">
        <x:f>C10-D10</x:f>
        <x:v>-15000</x:v>
      </x:c>
      <x:c r="G10" s="14" t="n">
        <x:f>IFERROR(C10/B10,0)</x:f>
        <x:v>0.8888888888888888</x:v>
      </x:c>
      <x:c r="H10" s="14" t="n">
        <x:f>IFERROR(C10/D10,0)</x:f>
        <x:v>0.9142857142857143</x:v>
      </x:c>
    </x:row>
    <x:row r="13" ht="26" customHeight="1">
      <x:c r="A13" s="17" t="str">
        <x:v>Все суммы придуманы для тренировки формул. Нельзя приписывать их Smart Garden или работодателю.</x:v>
      </x:c>
      <x:c r="B13" s="17"/>
      <x:c r="C13" s="17"/>
      <x:c r="D13" s="17"/>
      <x:c r="E13" s="17"/>
      <x:c r="F13" s="17"/>
      <x:c r="G13" s="17"/>
      <x:c r="H13" s="17"/>
    </x:row>
  </x:sheetData>
  <x:mergeCells>
    <x:mergeCell ref="A1:H2"/>
    <x:mergeCell ref="A13:H13"/>
  </x:mergeCells>
  <x:conditionalFormatting sqref="E5:F10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</x:cols>
  <x:sheetData>
    <x:row r="1">
      <x:c r="A1" s="20" t="str">
        <x:v>Термин</x:v>
      </x:c>
      <x:c r="B1" s="20" t="str">
        <x:v>Значение</x:v>
      </x:c>
    </x:row>
    <x:row r="2">
      <x:c r="A2" t="str">
        <x:v>PV</x:v>
      </x:c>
      <x:c r="B2" t="str">
        <x:v>Плановая стоимость освоения</x:v>
      </x:c>
    </x:row>
    <x:row r="3">
      <x:c r="A3" t="str">
        <x:v>EV</x:v>
      </x:c>
      <x:c r="B3" t="str">
        <x:v>Освоенный объём</x:v>
      </x:c>
    </x:row>
    <x:row r="4">
      <x:c r="A4" t="str">
        <x:v>AC</x:v>
      </x:c>
      <x:c r="B4" t="str">
        <x:v>Фактические затраты</x:v>
      </x:c>
    </x:row>
    <x:row r="5">
      <x:c r="A5" t="str">
        <x:v>SV</x:v>
      </x:c>
      <x:c r="B5" t="str">
        <x:v>EV минус PV</x:v>
      </x:c>
    </x:row>
    <x:row r="6">
      <x:c r="A6" t="str">
        <x:v>CV</x:v>
      </x:c>
      <x:c r="B6" t="str">
        <x:v>EV минус AC</x:v>
      </x:c>
    </x:row>
    <x:row r="7">
      <x:c r="A7" t="str">
        <x:v>SPI</x:v>
      </x:c>
      <x:c r="B7" t="str">
        <x:v>EV / PV</x:v>
      </x:c>
    </x:row>
    <x:row r="8">
      <x:c r="A8" t="str">
        <x:v>CPI</x:v>
      </x:c>
      <x:c r="B8" t="str">
        <x:v>EV / AC</x:v>
      </x:c>
    </x:row>
    <x:row r="9">
      <x:c r="A9" t="str">
        <x:v>Статус</x:v>
      </x:c>
      <x:c r="B9" t="str">
        <x:v>Synthetic training, not actual company records</x:v>
      </x:c>
    </x:row>
  </x:sheetData>
  <x:pageMargins left="0.7" right="0.7" top="0.75" bottom="0.75" header="0.3" footer="0.3"/>
</x:worksheet>
</file>